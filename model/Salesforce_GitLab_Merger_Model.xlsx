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33160bbd2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8f5cbb58fd8d4f37"/>
    <x:sheet xmlns:r="http://schemas.openxmlformats.org/officeDocument/2006/relationships" name="01_Assumptions" sheetId="2" r:id="R453d2de467834887"/>
    <x:sheet xmlns:r="http://schemas.openxmlformats.org/officeDocument/2006/relationships" name="02_CRM_Historical" sheetId="3" r:id="R1cbffa5d3a114f1d"/>
    <x:sheet xmlns:r="http://schemas.openxmlformats.org/officeDocument/2006/relationships" name="03_CRM_Forecast" sheetId="4" r:id="R8c5a21062f264339"/>
    <x:sheet xmlns:r="http://schemas.openxmlformats.org/officeDocument/2006/relationships" name="04_GTLB_Historical" sheetId="5" r:id="Rcafba9c4ddbb48f9"/>
    <x:sheet xmlns:r="http://schemas.openxmlformats.org/officeDocument/2006/relationships" name="05_GTLB_Forecast" sheetId="6" r:id="R1fa53a2b86ba4bc6"/>
    <x:sheet xmlns:r="http://schemas.openxmlformats.org/officeDocument/2006/relationships" name="06_Valuation_Comps" sheetId="7" r:id="R0d33ac88dfa94e6b"/>
    <x:sheet xmlns:r="http://schemas.openxmlformats.org/officeDocument/2006/relationships" name="07_Valuation_DCF" sheetId="8" r:id="Rd64b485291f34673"/>
    <x:sheet xmlns:r="http://schemas.openxmlformats.org/officeDocument/2006/relationships" name="08_Transaction" sheetId="9" r:id="Re90c6f4255044dfc"/>
    <x:sheet xmlns:r="http://schemas.openxmlformats.org/officeDocument/2006/relationships" name="09_Sources_Uses" sheetId="10" r:id="R7f81b8b29f614057"/>
    <x:sheet xmlns:r="http://schemas.openxmlformats.org/officeDocument/2006/relationships" name="10_Purchase_Accounting" sheetId="11" r:id="R4a6e9512c089458f"/>
    <x:sheet xmlns:r="http://schemas.openxmlformats.org/officeDocument/2006/relationships" name="11_Synergies" sheetId="12" r:id="R0541db3ba3a74ef5"/>
    <x:sheet xmlns:r="http://schemas.openxmlformats.org/officeDocument/2006/relationships" name="12_Pro_Forma" sheetId="13" r:id="Ra28f72fbceb24ba0"/>
    <x:sheet xmlns:r="http://schemas.openxmlformats.org/officeDocument/2006/relationships" name="13_Accretion_Dilution" sheetId="14" r:id="R3a466a3c414244b4"/>
    <x:sheet xmlns:r="http://schemas.openxmlformats.org/officeDocument/2006/relationships" name="14_Sensitivities" sheetId="15" r:id="Ra2b07300b02a477e"/>
    <x:sheet xmlns:r="http://schemas.openxmlformats.org/officeDocument/2006/relationships" name="15_Output" sheetId="16" r:id="R9874ef8c34314640"/>
    <x:sheet xmlns:r="http://schemas.openxmlformats.org/officeDocument/2006/relationships" name="16_Precedents" sheetId="17" r:id="R31ca1c5a35af4e20"/>
    <x:sheet xmlns:r="http://schemas.openxmlformats.org/officeDocument/2006/relationships" name="17_Opening_Balance" sheetId="18" r:id="R1ba4eb14ac614dd6"/>
    <x:sheet xmlns:r="http://schemas.openxmlformats.org/officeDocument/2006/relationships" name="18_Checks" sheetId="19" r:id="R96afc3b34c0e4a82"/>
    <x:sheet xmlns:r="http://schemas.openxmlformats.org/officeDocument/2006/relationships" name="19_Sources" sheetId="20" r:id="Rdb8b50a2a2634ccb"/>
    <x:sheet xmlns:r="http://schemas.openxmlformats.org/officeDocument/2006/relationships" name="20_Review" sheetId="21" r:id="Rbaff7e03d2a94634"/>
  </x:sheets>
</x:workbook>
</file>

<file path=xl/comments1.xml><?xml version="1.0" encoding="utf-8"?>
<x:comments xmlns:x="http://schemas.openxmlformats.org/spreadsheetml/2006/main">
  <x:authors>
    <x:author>tc={7493C604-F4E7-4126-8D5B-9CC2A817CABB}</x:author>
    <x:author>tc={02A6B7D1-9A8B-4F3D-AA13-20553EDB319A}</x:author>
    <x:author>tc={5E1E93BD-ABF8-44E5-A1B8-AB1CF37EF5F7}</x:author>
    <x:author>tc={70E0260F-6699-4006-8DA5-F22BAF60380F}</x:author>
    <x:author>tc={EBCFF5F3-62E8-4159-9A76-2672C87C71CF}</x:author>
    <x:author>tc={A3AFF6FE-FDCC-415E-BDE2-95E395FC1C61}</x:author>
    <x:author>tc={61075AC3-4B2F-4CEA-B74D-7BAD5EF72791}</x:author>
    <x:author>tc={D14E9840-E9B0-4046-91EC-0F5182DCDC36}</x:author>
    <x:author>tc={80DB8FB2-DF93-4E87-8568-5F22B69A0999}</x:author>
    <x:author>tc={70B80453-03F9-4336-8057-C0108C17F4A3}</x:author>
    <x:author>tc={AEA33C38-D828-440C-9702-95489BA80C0D}</x:author>
    <x:author>tc={D2F51F76-C737-4FFF-B105-151D57F03026}</x:author>
    <x:author>tc={32C228E3-B27A-4E9E-AB6A-33652A2B3EBD}</x:author>
    <x:author>tc={EBC865BD-B892-4DDE-BA2A-3770BA9A57A3}</x:author>
    <x:author>tc={2F9BE7F7-A520-4F46-BE0F-C68AABEB11EB}</x:author>
    <x:author>tc={F3B268DE-C493-476A-9ADE-F13E5BF8BFDB}</x:author>
    <x:author>tc={E3D233EE-DEF1-460F-83F4-CC6C8B4F8224}</x:author>
    <x:author>tc={B5D8E641-C17E-4534-8DE0-F453F359CC3D}</x:author>
    <x:author>tc={043738CA-4A44-462A-917E-7BD51FDBF7C7}</x:author>
    <x:author>tc={F5B59BF9-E795-442A-B420-FCCCD48548C3}</x:author>
    <x:author>tc={F47A32B9-2844-4E70-85B9-0F6AE62A05EA}</x:author>
    <x:author>tc={D357A99A-F4AF-4655-B227-EECF50A2119B}</x:author>
    <x:author>tc={B5790624-EBEE-4EF1-A384-2389D416725B}</x:author>
    <x:author>tc={3BEB9244-B11F-4B27-B69B-CD171E22B291}</x:author>
    <x:author>tc={EC625FF2-4975-4A1B-9C20-D90B32A34496}</x:author>
    <x:author>tc={77192953-6A61-4D4F-80EE-3F93FF1F261E}</x:author>
    <x:author>tc={31FAF7DC-B668-4924-8CEE-8B9CD2C1ED7A}</x:author>
    <x:author>tc={EAE51822-F773-442E-8FBD-8988A08C861A}</x:author>
    <x:author>tc={C296CF40-47E6-48EB-A9B9-A31FBC89BFB4}</x:author>
    <x:author>tc={32FB3E0D-FFC1-45AF-BA5C-6E8996CA1371}</x:author>
    <x:author>tc={F2A1EDCE-9D69-4747-8D0A-2EE3F974D59D}</x:author>
    <x:author>tc={91270B4F-36DA-4743-AF49-3BC5981D4DF6}</x:author>
    <x:author>tc={25A4A1FD-A2CF-4EC9-9F40-45F587C95B42}</x:author>
    <x:author>tc={E848EFA5-1907-40DB-A085-37F6BA4B5D5C}</x:author>
    <x:author>tc={5AC3477F-9F00-4138-B460-10CA2DDE0D36}</x:author>
    <x:author>tc={FBA6F57A-8BE8-406D-9DA2-9AADC33D1779}</x:author>
    <x:author>tc={45A2DD72-ECFD-42BA-B4E5-EACBB256EC6E}</x:author>
    <x:author>tc={60EF2655-9190-44AE-9E80-4C4CD2DCBF88}</x:author>
    <x:author>tc={FD1AD4C3-A1B9-4C7A-BBB7-CFD449B6F38E}</x:author>
    <x:author>tc={89239589-B7AB-4927-910D-3D1E2C1B6E0D}</x:author>
    <x:author>tc={85552B8D-842D-4F29-A15D-EDA6B8878BAB}</x:author>
    <x:author>tc={8C38F5D4-1C60-4072-8AA8-FEB22B1FE124}</x:author>
    <x:author>tc={69580AF6-2F61-46E6-85CA-F53B06BE0AD1}</x:author>
    <x:author>tc={BB493B15-5FF6-4F04-96A7-7278FD7D0097}</x:author>
    <x:author>tc={1B0C3B25-4EFC-4D22-A7A0-E73CA013ED5F}</x:author>
    <x:author>tc={3329D3F9-1983-4EAB-8A49-098B2BD1BC35}</x:author>
    <x:author>tc={D9E28809-F61C-48EE-81BF-E02E19AF78CF}</x:author>
    <x:author>tc={62FE9719-D7C7-415B-93F2-80F4F7D4426B}</x:author>
    <x:author>tc={FED3F852-58A4-43E5-BD0C-B86308E8CF41}</x:author>
    <x:author>tc={23539F39-36FE-4083-B01D-3AEBDD9257BD}</x:author>
    <x:author>tc={5B81EC8B-C340-4AE7-8F50-291CB11C94EB}</x:author>
    <x:author>tc={2212F256-9D7E-4FCC-9B81-9FB213425EE0}</x:author>
    <x:author>tc={D3AC32DE-F7CA-440A-A3EE-9FA6E6A6BA1C}</x:author>
    <x:author>tc={5DB88321-4810-44AA-9B36-88A2CA795D76}</x:author>
    <x:author>tc={C439EA15-0CCC-425A-B493-BF20A1F7A161}</x:author>
    <x:author>tc={215DA399-E24F-46C7-8345-C19BD819766B}</x:author>
    <x:author>tc={88458CDC-769F-49C7-97EB-1A2B9BE0A77A}</x:author>
    <x:author>tc={573C1214-7B1C-4429-AB55-A39E8C684416}</x:author>
    <x:author>tc={01D22B3C-6B51-4282-9C4B-6BB986C25AD0}</x:author>
    <x:author>tc={08030DB4-3975-4A0C-BA8A-E60F3FD059CF}</x:author>
    <x:author>tc={A1CC5FB4-7CEE-4E39-AE90-E978B423661F}</x:author>
    <x:author>tc={01A3B68A-168A-4013-89D0-8A5A4A838479}</x:author>
    <x:author>tc={E798726B-C118-403F-935E-BCA563CF474B}</x:author>
    <x:author>tc={E1943D07-B2AE-4AF6-A7EE-B722CFADA64A}</x:author>
    <x:author>tc={CD57A035-7FA9-4E79-962C-146C8F06861D}</x:author>
    <x:author>tc={70B471EA-D468-4417-9CC3-A5E9B25B9513}</x:author>
    <x:author>tc={EE5C1131-4504-4AA8-BED4-5A780EFB4041}</x:author>
    <x:author>tc={2AF3E7B8-AE5C-4C84-9F37-5B7E450969D7}</x:author>
    <x:author>tc={FEFBD136-E46A-4999-8A30-F69162C09809}</x:author>
    <x:author>tc={BF1C8107-5668-4878-9417-0764207A2695}</x:author>
    <x:author>tc={3DC890A4-91A4-4BFB-9E18-63427AC8A970}</x:author>
    <x:author>tc={79E3923B-A84E-40E9-8835-960D3028F17E}</x:author>
    <x:author>tc={91FEA515-69FB-4580-B84F-96FCD8CA50F0}</x:author>
    <x:author>tc={3695CC5C-423A-4036-82BC-8D5B845C5B6D}</x:author>
    <x:author>tc={B07BD07C-DA24-428D-B9E3-E779D2DE663C}</x:author>
    <x:author>tc={5DAE96B6-21C4-460F-9012-F93B2D35E5C7}</x:author>
    <x:author>tc={2C3236DF-E776-43A0-8DC1-E4F8DF1BE31C}</x:author>
    <x:author>tc={B157DBB4-9CF4-4A12-A494-BE23FA3FE9E7}</x:author>
    <x:author>tc={A32A9C90-8A55-4DFF-86C7-78C422EBA3B2}</x:author>
    <x:author>tc={38C0776B-F3E7-46E7-80DC-3BB65F1F2622}</x:author>
    <x:author>tc={AAC48760-7E8E-4B26-A25F-E50AABEDF055}</x:author>
    <x:author>tc={14124C58-1743-4FF0-990B-D2359F5F9267}</x:author>
    <x:author>tc={8BA535D9-8EA1-44C6-8BE6-7B03112C4ADE}</x:author>
    <x:author>tc={2F6BF363-A413-4D57-9351-696F6A335F85}</x:author>
    <x:author>tc={D2790207-DF35-41BC-A442-4F1CF6463EDB}</x:author>
    <x:author>tc={24672061-335F-4FD4-9400-5DD470F9DFCF}</x:author>
    <x:author>tc={E51276D3-6F4D-48A3-8EE1-FC17C2E7BCC5}</x:author>
    <x:author>tc={67952AE1-A19C-4189-B905-0D2764FA9A54}</x:author>
    <x:author>tc={329695B4-4284-4E6F-BD53-CE2055C2DFA7}</x:author>
    <x:author>tc={1D1DB654-F9AE-4307-BA7A-C7D1BAD85C6A}</x:author>
    <x:author>tc={E5C41F95-49D2-4DC4-B29F-254BD7A46C8E}</x:author>
    <x:author>tc={F4A3329B-40E2-401F-8F73-40E5840AC758}</x:author>
    <x:author>tc={334BD39C-9A24-4F4D-9BDA-92ADBE72E918}</x:author>
    <x:author>tc={AEBF53D3-A097-490C-932B-D695D03D87FB}</x:author>
    <x:author>tc={DBE104C2-8E99-46A6-B57B-CF78BC7D1D83}</x:author>
    <x:author>tc={48A27D54-BABF-4791-869C-2B28C5F6D2D8}</x:author>
    <x:author>tc={033FB0AB-A80D-4F5C-A51C-692DD8E70A5C}</x:author>
    <x:author>tc={314D97D4-AC6A-4851-88FD-CE51D4BED2CC}</x:author>
    <x:author>tc={517320BC-5D37-4F2F-877E-7C2BFF835ADF}</x:author>
    <x:author>tc={55C1DC9D-8FD6-4080-9F13-DF1D19C4C53A}</x:author>
    <x:author>tc={FE3ED048-F01C-4575-9233-D796074EB021}</x:author>
    <x:author>tc={8E34A7CE-2492-4077-84E9-55A58978F19D}</x:author>
    <x:author>tc={F02A7819-0A5C-4B6F-B184-59F38373CD28}</x:author>
    <x:author>tc={4087B813-823A-41DE-BBE0-4D43A5D3E616}</x:author>
    <x:author>tc={3C0329DF-83D1-49F7-A9C7-57217BCBD6AB}</x:author>
    <x:author>tc={0AC7DD55-B279-4F87-8820-A4FA36656171}</x:author>
    <x:author>tc={5BEFFEC2-CD7B-4AE4-9D78-3FDC6012A6CC}</x:author>
    <x:author>tc={AA3EDC6B-AE51-419B-BB09-80049872799D}</x:author>
    <x:author>tc={97F9E289-1466-4FA6-9403-D1FC59F33B5B}</x:author>
    <x:author>tc={09ADEB52-75A7-47F3-A20E-0E8C5C19458D}</x:author>
    <x:author>tc={FC1A4D0C-C8B9-47D9-B93E-698F5F64A8F7}</x:author>
    <x:author>tc={0B164727-E261-4480-8D8F-2720C8A9D108}</x:author>
    <x:author>tc={5AE585B7-71AF-4A7A-9E04-B2F4898174AE}</x:author>
    <x:author>tc={E03B51D4-CB30-4C98-A88D-F03C3ACB01C7}</x:author>
    <x:author>tc={B7635651-00D6-4BBA-BC66-2C38E52E7A5C}</x:author>
    <x:author>tc={1197058A-7855-4BFD-899B-4F4ADEBB2354}</x:author>
    <x:author>tc={8F55CA5A-45AF-4027-A1DA-A32A34662161}</x:author>
    <x:author>tc={71EAA74C-99DE-4303-A247-58B296410844}</x:author>
    <x:author>tc={25B640DA-D45E-417D-8F3D-89459067B0BA}</x:author>
    <x:author>tc={0A621776-7CDB-4D59-9143-91C07336611D}</x:author>
    <x:author>tc={FB741329-52EE-427E-AF62-296245C689CE}</x:author>
    <x:author>tc={FD360FC1-D1AF-4400-B5AB-FFF4AE614D86}</x:author>
    <x:author>tc={8ED26054-1ECD-4CAC-99CB-9E14B58AA837}</x:author>
    <x:author>tc={56130ECD-D00C-4F97-A8D2-5A3197108AC6}</x:author>
    <x:author>tc={2CF4524A-6E09-42FC-A7FF-061BCF788A14}</x:author>
    <x:author>tc={A0BA6BB3-8D91-4E70-ACDC-A04725EDDACC}</x:author>
    <x:author>tc={0F472C43-7A4F-47AC-9881-7CE9B6AB6810}</x:author>
    <x:author>tc={E48C37D9-A81A-4C60-8C93-460F77DD62DE}</x:author>
    <x:author>tc={19173B07-C3DD-414D-A588-40B79B2DE858}</x:author>
    <x:author>tc={490762DF-1218-47C6-BF5D-9AA8CF7F281A}</x:author>
    <x:author>tc={AA1EE83E-8CDF-463F-9091-073411E4610C}</x:author>
    <x:author>tc={127B5649-BF11-4402-BE27-9B251BB9AFDB}</x:author>
    <x:author>tc={0E8BE273-64C4-4A40-BE71-EF0EFAB5C46A}</x:author>
    <x:author>tc={0862B838-F174-4544-A916-30AB96D93809}</x:author>
    <x:author>tc={BF91E8E2-7CE0-48CE-9538-1B4B2B90FD23}</x:author>
    <x:author>tc={DC7CD7EF-B8D7-456D-9EBD-95D2C441B74C}</x:author>
    <x:author>tc={5405F7D8-A451-4C58-9317-BE87A663A818}</x:author>
    <x:author>tc={BBD16B88-EC7D-4CCB-B149-DC3FE1548A7F}</x:author>
    <x:author>tc={E02E7A5E-7A7E-4760-BA58-101B0338AF8B}</x:author>
    <x:author>tc={8D7DB1D4-0C14-4FE3-ACF4-C32CCBE62AA9}</x:author>
    <x:author>tc={7B9CCE23-64C6-46F7-9F7E-69E0CE123404}</x:author>
    <x:author>tc={DD2F82E5-6C04-4C8C-BF52-298B231F0F52}</x:author>
    <x:author>tc={D0E0172E-DC97-4CFB-8FBD-73B0542204F1}</x:author>
    <x:author>tc={2858129F-B63B-4F5E-A85F-6E4102232983}</x:author>
    <x:author>tc={F73C8863-2500-4047-9102-003A746C529B}</x:author>
    <x:author>tc={D93C3AF4-1446-4387-AF17-FDEB8232EC7E}</x:author>
    <x:author>tc={3F55B10B-B4A2-4D98-A3C6-509B5B1415CF}</x:author>
    <x:author>tc={45D92D81-7731-4A40-BB5C-C05B037330FC}</x:author>
    <x:author>tc={D75A8D25-645E-4693-A3D4-F816B05F1DAF}</x:author>
    <x:author>tc={8D271554-B94C-4160-B727-8EBBC494A1E4}</x:author>
    <x:author>tc={034163E1-8A22-4E9D-9D62-1D57B46C1797}</x:author>
    <x:author>tc={456841C7-1A82-4766-AFEF-3F2E6E9F0E28}</x:author>
    <x:author>tc={A77FF3E0-B5D0-417A-9BC3-A59B06FB9BF0}</x:author>
    <x:author>tc={1DDB6315-B676-494F-BA6D-5735521B44AF}</x:author>
    <x:author>tc={08033E8C-F3E5-4CD8-8875-DB58CC7329E1}</x:author>
    <x:author>tc={793846A7-E48C-4E03-BD87-F0EB582386DB}</x:author>
    <x:author>tc={DC2CD548-C9A4-4A9E-B536-A53483538C3D}</x:author>
    <x:author>tc={C48B69BE-D144-4460-AC41-BC71D3C29972}</x:author>
    <x:author>tc={D1C00CD9-897D-49F1-8FDC-7BE7AF3AB6B0}</x:author>
    <x:author>tc={E81BD88E-63E4-4853-9DCC-AF7DA747D90E}</x:author>
    <x:author>tc={4CBF6675-CA64-4F27-BCDD-81BAEE7DCFA7}</x:author>
    <x:author>tc={06A3A4F0-3CAF-40E6-84FC-BC3D8F58A04C}</x:author>
    <x:author>tc={32B55849-475D-4281-8150-BE6E414C87B7}</x:author>
    <x:author>tc={538A4922-37B2-46C1-ACF0-510FB424E16F}</x:author>
    <x:author>tc={C5948310-F2E8-452D-8E83-DD9327C8E9B3}</x:author>
    <x:author>tc={FD0A8BB9-5A92-498A-BFF4-88E82EA47545}</x:author>
    <x:author>tc={D217DFAD-8E6C-40ED-89DE-BFE84A66F4B9}</x:author>
    <x:author>tc={DE3E5788-5009-458C-8503-F353A39422A7}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GTLB_P: GTLB historical closing price; 4 September 2026. Published 2026-09-04. https://ir.gitlab.com/stock-info/default.aspx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CRM_P: CRM historical closing price; 4 September 2026. Published 2026-09-04. https://investor.salesforce.com/stock-info/default.aspx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illustrative negotiating premium, not an observed bid.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5m fully vested-equivalent shares paid as pre-combination consideration. Simplified; not reported awards.</x:t>
        </x:r>
      </x:text>
    </x:comment>
    <x:comment ref="B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base structure preserves liquidity. Fees paid with cash separately.</x:t>
        </x:r>
      </x:text>
    </x:comment>
    <x:comment ref="B1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5-year bullet financing; no cash sweep.</x:t>
        </x:r>
      </x:text>
    </x:comment>
    <x:comment ref="B1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 stock-price collar; fixed reference price at close.</x:t>
        </x:r>
      </x:text>
    </x:comment>
    <x:comment ref="B1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6.5%; not a bank financing quote.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4%; only acquirer cash actually used loses interest income.</x:t>
        </x:r>
      </x:text>
    </x:comment>
    <x:comment ref="B1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normalized US rate; full tax benefit on recurring deal adjustments. Test tax shield separately.</x:t>
        </x:r>
      </x:text>
    </x:comment>
    <x:comment ref="B1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cash paid at closing; expensed, no tax deduction assumed.</x:t>
        </x:r>
      </x:text>
    </x:comment>
    <x:comment ref="B1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cash paid at close, netted from debt carrying value; straight-line amortization.</x:t>
        </x:r>
      </x:text>
    </x:comment>
    <x:comment ref="B1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five-year bullet, unchanged principal during forecast.</x:t>
        </x:r>
      </x:text>
    </x:comment>
    <x:comment ref="B2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minimum cash plus liquid securities.</x:t>
        </x:r>
      </x:text>
    </x:comment>
    <x:comment ref="B2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liquidity reserve, not verified consideration for pending transactions. No double counting of spent ASR proceeds.</x:t>
        </x:r>
      </x:text>
    </x:comment>
    <x:comment ref="B2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incremental asset write-up, not total intangible fair value. Existing amortization remains in standalone EBIT.</x:t>
        </x:r>
      </x:text>
    </x:comment>
    <x:comment ref="B2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allocation of incremental intangibles.</x:t>
        </x:r>
      </x:text>
    </x:comment>
    <x:comment ref="B2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allocation of incremental intangibles.</x:t>
        </x:r>
      </x:text>
    </x:comment>
    <x:comment ref="B2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allocation of incremental intangibles.</x:t>
        </x:r>
      </x:text>
    </x:comment>
    <x:comment ref="B2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straight-line years; no tax-basis step-up.</x:t>
        </x:r>
      </x:text>
    </x:comment>
    <x:comment ref="B2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straight-line years; no tax-basis step-up.</x:t>
        </x:r>
      </x:text>
    </x:comment>
    <x:comment ref="B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straight-line years; no tax-basis step-up.</x:t>
        </x:r>
      </x:text>
    </x:comment>
    <x:comment ref="B2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multiplies bottom-up run-rate savings; 1.0x base.</x:t>
        </x:r>
      </x:text>
    </x:comment>
    <x:comment ref="B3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public-company and corporate functions; includes vendor/facilities, no duplicate buckets.</x:t>
        </x:r>
      </x:text>
    </x:comment>
    <x:comment ref="B3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selling overlap; retain independent developer sales motion.</x:t>
        </x:r>
      </x:text>
    </x:comment>
    <x:comment ref="B3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infrastructure/vendor efficiencies; excludes R&amp;D cuts.</x:t>
        </x:r>
      </x:text>
    </x:comment>
    <x:comment ref="B3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FY2028, first full year after closing.</x:t>
        </x:r>
      </x:text>
    </x:comment>
    <x:comment ref="B3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FY2029.</x:t>
        </x:r>
      </x:text>
    </x:comment>
    <x:comment ref="B3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FY2030.</x:t>
        </x:r>
      </x:text>
    </x:comment>
    <x:comment ref="B3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1.0x run rate, paid 60% / 40% in years 1 / 2.</x:t>
        </x:r>
      </x:text>
    </x:comment>
    <x:comment ref="B3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remainder paid in year 2.</x:t>
        </x:r>
      </x:text>
    </x:comment>
    <x:comment ref="B3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zero in base; no management guidance.</x:t>
        </x:r>
      </x:text>
    </x:comment>
    <x:comment ref="B3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incremental contribution after all delivery/selling costs.</x:t>
        </x:r>
      </x:text>
    </x:comment>
    <x:comment ref="B40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11.5% hurdle; sensitivity 9.5%-13.5%; not market-estimated CAPM.</x:t>
        </x:r>
      </x:text>
    </x:comment>
    <x:comment ref="B41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2.5%; below WACC.</x:t>
        </x:r>
      </x:text>
    </x:comment>
    <x:comment ref="B4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20x normalized GAAP EBIT, explicitly not EV/adjusted EBITDA.</x:t>
        </x:r>
      </x:text>
    </x:comment>
    <x:comment ref="B4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conservatively reserve all JiHu assets disclosed in GTLB_Q27; actual restricted cash not separately verified.</x:t>
        </x:r>
      </x:text>
    </x:comment>
    <x:comment ref="B4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Convention: actual / 365.</x:t>
        </x:r>
      </x:text>
    </x:comment>
    <x:comment ref="B45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Convention: six-month share-count weighting.</x:t>
        </x:r>
      </x:text>
    </x:comment>
    <x:comment ref="B4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Convention: annualized quarterly revenue is not LTM.</x:t>
        </x:r>
      </x:text>
    </x:comment>
    <x:comment ref="B47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 February 2027.</x:t>
        </x:r>
      </x:text>
    </x:comment>
    <x:comment ref="B4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Convention: 4 September 2026.</x:t>
        </x:r>
      </x:text>
    </x:comment>
    <x:comment ref="B4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B5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1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B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B5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5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5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6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6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6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Derived from GTLB_F26 balance sheet: 304.301 + 48.899 + 42.676 + 23.705 - 9.205 - 58.185 - 39.657 - 545.096 - 26.994.</x:t>
        </x:r>
      </x:text>
    </x:comment>
    <x:comment ref="B6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100% of new financing costs deductible; no legal/tax opinion.</x:t>
        </x:r>
      </x:text>
    </x:comment>
    <x:comment ref="B64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Convention: rounding tolerance in USD millions.</x:t>
        </x:r>
      </x:text>
    </x:comment>
    <x:comment ref="C7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crmGrowth; management guidance anchors FY2027 revenue only; CRM FY2027 GAAP margin 20.1% from CRM_Q27. Future values are analyst scenarios.</x:t>
        </x:r>
      </x:text>
    </x:comment>
    <x:comment ref="D7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crmGrowth; management guidance anchors FY2027 revenue only; CRM FY2027 GAAP margin 20.1% from CRM_Q27. Future values are analyst scenarios.</x:t>
        </x:r>
      </x:text>
    </x:comment>
    <x:comment ref="E7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crmGrowth; management guidance anchors FY2027 revenue only; CRM FY2027 GAAP margin 20.1% from CRM_Q27. Future values are analyst scenarios.</x:t>
        </x:r>
      </x:text>
    </x:comment>
    <x:comment ref="F7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crmGrowth; management guidance anchors FY2027 revenue only; CRM FY2027 GAAP margin 20.1% from CRM_Q27. Future values are analyst scenarios.</x:t>
        </x:r>
      </x:text>
    </x:comment>
    <x:comment ref="G7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crmGrowth; management guidance anchors FY2027 revenue only; CRM FY2027 GAAP margin 20.1% from CRM_Q27. Future values are analyst scenarios.</x:t>
        </x:r>
      </x:text>
    </x:comment>
    <x:comment ref="B73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C73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D73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E7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F7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G73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crmGross; management guidance anchors FY2027 revenue only; CRM FY2027 GAAP margin 20.1% from CRM_Q27. Future values are analyst scenarios.</x:t>
        </x:r>
      </x:text>
    </x:comment>
    <x:comment ref="B7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C74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D74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E74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F7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G74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crmGAAP; management guidance anchors FY2027 revenue only; CRM FY2027 GAAP margin 20.1% from CRM_Q27. Future values are analyst scenarios.</x:t>
        </x:r>
      </x:text>
    </x:comment>
    <x:comment ref="B7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C7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D7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E75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F7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G75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crmSBC; management guidance anchors FY2027 revenue only; CRM FY2027 GAAP margin 20.1% from CRM_Q27. Future values are analyst scenarios.</x:t>
        </x:r>
      </x:text>
    </x:comment>
    <x:comment ref="B76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C76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D76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E76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F76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G76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crmOther; management guidance anchors FY2027 revenue only; CRM FY2027 GAAP margin 20.1% from CRM_Q27. Future values are analyst scenarios.</x:t>
        </x:r>
      </x:text>
    </x:comment>
    <x:comment ref="B77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C77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D77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E77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F77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G77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crmShares; management guidance anchors FY2027 revenue only; CRM FY2027 GAAP margin 20.1% from CRM_Q27. Future values are analyst scenarios.</x:t>
        </x:r>
      </x:text>
    </x:comment>
    <x:comment ref="B78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C78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D78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E78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F78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G78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crmDA; management guidance anchors FY2027 revenue only; CRM FY2027 GAAP margin 20.1% from CRM_Q27. Future values are analyst scenarios.</x:t>
        </x:r>
      </x:text>
    </x:comment>
    <x:comment ref="B79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C79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D79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E79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F79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G79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crmCapex; management guidance anchors FY2027 revenue only; CRM FY2027 GAAP margin 20.1% from CRM_Q27. Future values are analyst scenarios.</x:t>
        </x:r>
      </x:text>
    </x:comment>
    <x:comment ref="C80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gtlbGrowth; management guidance anchors FY2027 revenue only; CRM FY2027 GAAP margin 20.1% from CRM_Q27. Future values are analyst scenarios.</x:t>
        </x:r>
      </x:text>
    </x:comment>
    <x:comment ref="D80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gtlbGrowth; management guidance anchors FY2027 revenue only; CRM FY2027 GAAP margin 20.1% from CRM_Q27. Future values are analyst scenarios.</x:t>
        </x:r>
      </x:text>
    </x:comment>
    <x:comment ref="E80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gtlbGrowth; management guidance anchors FY2027 revenue only; CRM FY2027 GAAP margin 20.1% from CRM_Q27. Future values are analyst scenarios.</x:t>
        </x:r>
      </x:text>
    </x:comment>
    <x:comment ref="F80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gtlbGrowth; management guidance anchors FY2027 revenue only; CRM FY2027 GAAP margin 20.1% from CRM_Q27. Future values are analyst scenarios.</x:t>
        </x:r>
      </x:text>
    </x:comment>
    <x:comment ref="G80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gtlbGrowth; management guidance anchors FY2027 revenue only; CRM FY2027 GAAP margin 20.1% from CRM_Q27. Future values are analyst scenarios.</x:t>
        </x:r>
      </x:text>
    </x:comment>
    <x:comment ref="B81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C81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D81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E81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F81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G81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gtlbGross; management guidance anchors FY2027 revenue only; CRM FY2027 GAAP margin 20.1% from CRM_Q27. Future values are analyst scenarios.</x:t>
        </x:r>
      </x:text>
    </x:comment>
    <x:comment ref="B82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C82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D82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E82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F82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G82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gtlbPreSBC; management guidance anchors FY2027 revenue only; CRM FY2027 GAAP margin 20.1% from CRM_Q27. Future values are analyst scenarios.</x:t>
        </x:r>
      </x:text>
    </x:comment>
    <x:comment ref="B83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C83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D83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E83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F83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G83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gtlbSBC; management guidance anchors FY2027 revenue only; CRM FY2027 GAAP margin 20.1% from CRM_Q27. Future values are analyst scenarios.</x:t>
        </x:r>
      </x:text>
    </x:comment>
    <x:comment ref="B84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C84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D84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E84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F84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G84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gtlbShares; management guidance anchors FY2027 revenue only; CRM FY2027 GAAP margin 20.1% from CRM_Q27. Future values are analyst scenarios.</x:t>
        </x:r>
      </x:text>
    </x:comment>
    <x:comment ref="B85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C85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D85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E85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F85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G85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gtlbDA; management guidance anchors FY2027 revenue only; CRM FY2027 GAAP margin 20.1% from CRM_Q27. Future values are analyst scenarios.</x:t>
        </x:r>
      </x:text>
    </x:comment>
    <x:comment ref="B86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C86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D86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E86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F86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G86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gtlbCapex; management guidance anchors FY2027 revenue only; CRM FY2027 GAAP margin 20.1% from CRM_Q27. Future values are analyst scenarios.</x:t>
        </x:r>
      </x:text>
    </x:comment>
    <x:comment ref="B87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C87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D87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E87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F87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G87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gtlbNWC; management guidance anchors FY2027 revenue only; CRM FY2027 GAAP margin 20.1% from CRM_Q27. Future values are analyst scenarios.</x:t>
        </x:r>
      </x:text>
    </x:comment>
    <x:comment ref="B97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97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D97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98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98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D98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99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99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D99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00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100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D100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06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1 percentage point sensitivity step.</x:t>
        </x:r>
      </x:text>
    </x:comment>
    <x:comment ref="B107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0.5 percentage point sensitivity step.</x:t>
        </x:r>
      </x:text>
    </x:comment>
  </x:commentList>
</x:comments>
</file>

<file path=xl/comments2.xml><?xml version="1.0" encoding="utf-8"?>
<x:comments xmlns:x="http://schemas.openxmlformats.org/spreadsheetml/2006/main">
  <x:authors>
    <x:author>tc={91747B69-F685-49FD-B692-EDE0F31A1DE3}</x:author>
    <x:author>tc={87FBFB03-BC70-4391-AFC8-78403F534FF1}</x:author>
    <x:author>tc={3C338E61-7FA6-4E84-B72C-2A336B4379F5}</x:author>
    <x:author>tc={CA007DF6-2B15-46EB-807E-B66B3A850A8D}</x:author>
    <x:author>tc={DE7C77E3-3171-4706-B95E-FB900818751F}</x:author>
    <x:author>tc={23584DEF-D894-4801-B1EC-6DB5B2F4F768}</x:author>
    <x:author>tc={E6D86B27-8D3F-4774-8881-5E74CD67057F}</x:author>
    <x:author>tc={C3A8FD3C-BC43-421C-8256-60DD933F75EB}</x:author>
    <x:author>tc={BC299923-A5B0-4060-BD29-8CE293AC0E30}</x:author>
    <x:author>tc={AB450F5F-523A-46FE-B18F-96A5A0A846A5}</x:author>
    <x:author>tc={7918FCA7-5E80-4ADE-AAA2-3C6BA4E383E6}</x:author>
    <x:author>tc={F51C9321-387A-4982-B1ED-1A490EC93FC4}</x:author>
    <x:author>tc={79B48ADD-1504-41E9-94C0-C3BD9B40D788}</x:author>
    <x:author>tc={8318BB53-0235-4F65-AE83-988C834D7377}</x:author>
    <x:author>tc={98716A42-4D42-4943-B89E-CE35418173BB}</x:author>
    <x:author>tc={5630D609-B59F-4F8B-BACB-509F81DB6D4E}</x:author>
    <x:author>tc={6AA78F54-34DC-4D0E-B668-8CB7402EDBBE}</x:author>
    <x:author>tc={923E7E69-4F9B-4E68-B100-271738501042}</x:author>
    <x:author>tc={26731A25-8AB9-4658-B002-57899FE50776}</x:author>
    <x:author>tc={1034CC77-783A-4607-A067-2A995974B13E}</x:author>
    <x:author>tc={1BE73FFE-50F4-43C3-96C9-86B7D9AD4765}</x:author>
    <x:author>tc={DD31B8DA-25FD-4148-9E46-78E0A428AF47}</x:author>
    <x:author>tc={302C8C18-B66B-480E-90B9-74426BD863E1}</x:author>
    <x:author>tc={F7161E81-FB42-4260-A556-D5B7A8481CF4}</x:author>
    <x:author>tc={7D8D3D6B-CBDD-479E-87DA-0B05E383F79F}</x:author>
    <x:author>tc={9CE18A48-891F-407E-AD05-012B29DED423}</x:author>
    <x:author>tc={624A9681-7F47-4C94-BAE8-28E80A060186}</x:author>
    <x:author>tc={A74B2A31-C78D-44F0-9818-71AC2567F411}</x:author>
    <x:author>tc={72AEDF2D-ED17-4148-80AA-4F9A8082B4F4}</x:author>
    <x:author>tc={94AC3081-2866-40E2-98D7-C7A6C3BC1E6F}</x:author>
    <x:author>tc={1E926A40-5DAF-4ADD-B404-8D6AD34F82EF}</x:author>
    <x:author>tc={34B6CC47-0359-488B-8F2E-505D67196867}</x:author>
    <x:author>tc={F3D0D7E1-76EF-4AAB-9458-886D5E8D5C38}</x:author>
    <x:author>tc={817B8615-C690-4EC8-B7E3-5283631CED02}</x:author>
    <x:author>tc={70E4C01F-D016-4EB9-ACCE-5183E6B9CD31}</x:author>
    <x:author>tc={25FD2097-C902-45B8-B711-E9AC6A3B6F80}</x:author>
    <x:author>tc={70211800-42D0-46C2-B985-A04045FA32A9}</x:author>
    <x:author>tc={91D4B206-FE21-47CC-A7E4-1AA7A00B2A60}</x:author>
    <x:author>tc={B159D4CA-4315-45F1-9B20-07F539FB0C08}</x:author>
    <x:author>tc={6DE3E6F5-7A00-4FF6-98A9-7D424C0F03A9}</x:author>
    <x:author>tc={2E9D2B42-4965-4A6C-BAE5-6C589E0EB054}</x:author>
    <x:author>tc={768F3D11-5374-4372-A754-4CD1CF719058}</x:author>
    <x:author>tc={E4ECBD34-4C83-4513-AE76-039E8E27198C}</x:author>
    <x:author>tc={8B9EEB90-A430-4ADC-9DCA-30C56669B7FD}</x:author>
    <x:author>tc={A2CD5BA7-B75C-472E-8783-296CAB4E5741}</x:author>
    <x:author>tc={4A215373-E0F1-4ADA-A5E2-6070864F0FE7}</x:author>
    <x:author>tc={C60118A1-70D5-4BD4-8ABE-2CA03FCEDD8A}</x:author>
    <x:author>tc={283EB708-2ECB-4659-87D6-5E98257A1A4A}</x:author>
    <x:author>tc={F12DF458-D57E-4596-8848-4932A0DA4EB7}</x:author>
    <x:author>tc={7CBAD7D1-53E5-4410-A4EA-A4513FA0E0EF}</x:author>
    <x:author>tc={4ECEA336-2AE7-46C8-A9FD-DE2A48E539D8}</x:author>
    <x:author>tc={BE0DF782-6470-4553-B693-25FC74958D17}</x:author>
    <x:author>tc={713E280C-1EB1-40CE-82A9-E3511299AF66}</x:author>
    <x:author>tc={45D7FF67-4060-4BBA-892A-F2D947A58689}</x:author>
    <x:author>tc={0A746E3D-888C-401F-BD80-C03AF267665D}</x:author>
    <x:author>tc={E2B1C4BD-F9D2-4E60-A2C2-DE8711E239D7}</x:author>
    <x:author>tc={8B15B045-6483-41C2-B79F-9D46AD82D59E}</x:author>
    <x:author>tc={E69E479D-5814-4741-BCDC-20DB6B735822}</x:author>
    <x:author>tc={B7D7D613-A8CB-4B46-A9FE-73E67D592EF0}</x:author>
    <x:author>tc={003E5F7C-DFA6-409A-8137-40FF43BDA884}</x:author>
    <x:author>tc={56AA77AF-B4BC-4EC1-A406-57499AFC1160}</x:author>
    <x:author>tc={900C7C31-C303-468B-B5BA-319A3EF4C172}</x:author>
    <x:author>tc={279EF465-B17B-4EDA-96F9-92FFC541F572}</x:author>
    <x:author>tc={80DF38B3-C443-42C2-9248-F8F0244CACFB}</x:author>
    <x:author>tc={EA26EC5A-C385-42BF-950B-E2A51F1A0F0A}</x:author>
    <x:author>tc={6DF25F3A-2A96-4E2B-B432-53AC45C50F10}</x:author>
    <x:author>tc={B128ED4D-EB51-4CCD-866C-9F4154294C0E}</x:author>
    <x:author>tc={88CBBF68-C785-429E-AE82-25B59907F291}</x:author>
    <x:author>tc={DFEB13F9-957E-41C0-AF0E-9649089739B0}</x:author>
    <x:author>tc={A396F030-B73B-4C02-8780-3FE906775C2B}</x:author>
    <x:author>tc={FF60A8EE-6F91-417E-9D68-C7513C78289E}</x:author>
    <x:author>tc={BF21DA12-9B11-4470-9E94-D4ED4B816791}</x:author>
    <x:author>tc={AE67854C-21D8-49B5-809C-7037556DAB23}</x:author>
    <x:author>tc={F65BC646-52BA-41D9-88D5-3E122A3A3FD3}</x:author>
    <x:author>tc={EE46F084-0B02-4CBA-ADBD-257BC81CB29B}</x:author>
    <x:author>tc={56EEAA4D-24BD-476C-8D22-38599E9D0631}</x:author>
    <x:author>tc={0C824BBB-8B4A-46F0-9D5C-A1C97057A49D}</x:author>
    <x:author>tc={C0FDBAA5-EE04-4325-8DD4-D2C76809E29A}</x:author>
    <x:author>tc={8887C90C-A29A-4F82-BBC8-9C4E0CFA6E33}</x:author>
    <x:author>tc={47879032-2A98-4A45-9AA5-94606047D0FF}</x:author>
    <x:author>tc={C5C00EE9-47E9-4E0F-997E-0B5D1943CA63}</x:author>
    <x:author>tc={E1CEB083-1B0D-4BB7-9E20-CDE4E6D51CDB}</x:author>
    <x:author>tc={1C7984D1-84F9-41B7-9349-D62DEBD4434B}</x:author>
    <x:author>tc={19E932D6-AAE9-416C-81EB-566D3617A9B6}</x:author>
    <x:author>tc={73551C02-5ABC-4CE4-B46E-3BCDAE7DA8E6}</x:author>
    <x:author>tc={A2C86682-1F61-40EB-BF7F-44B707975A32}</x:author>
    <x:author>tc={1D138250-B1C8-489B-BF09-E4E903DDD24A}</x:author>
    <x:author>tc={80D59D07-9906-48F3-AEEF-9BAC7F4CB31A}</x:author>
    <x:author>tc={CCF577C2-06B5-4968-BA21-C8093D4665B3}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9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4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4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4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6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6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6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18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8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18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18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18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0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0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0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0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1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1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3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3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3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4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4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4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25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D2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E2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F2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4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8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39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40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41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B42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</x:commentList>
</x:comments>
</file>

<file path=xl/comments3.xml><?xml version="1.0" encoding="utf-8"?>
<x:comments xmlns:x="http://schemas.openxmlformats.org/spreadsheetml/2006/main">
  <x:authors>
    <x:author>tc={79FF8A57-A3F9-4975-B086-B51D24D50302}</x:author>
    <x:author>tc={54449DA9-076A-49AB-B6D0-98BB4CC95D1E}</x:author>
    <x:author>tc={1D37B462-4D3D-4D23-AA8E-7D5EDA955D73}</x:author>
    <x:author>tc={906BDE3D-5ADE-4E96-81E7-E95AC8788DE2}</x:author>
    <x:author>tc={F137322D-BC91-47BA-8041-58F171B91536}</x:author>
    <x:author>tc={2087096A-408E-4D1B-B7F9-F307270C0123}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D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E1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F1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G1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</x:commentList>
</x:comments>
</file>

<file path=xl/comments4.xml><?xml version="1.0" encoding="utf-8"?>
<x:comments xmlns:x="http://schemas.openxmlformats.org/spreadsheetml/2006/main">
  <x:authors>
    <x:author>tc={923F6FF8-6684-43F5-AE69-9EF63DBF5C0C}</x:author>
    <x:author>tc={AB9C3A42-DD47-4881-8D02-8071B3BFECD9}</x:author>
    <x:author>tc={66EC517C-9414-4373-AF0A-05DE9835CFA8}</x:author>
    <x:author>tc={C66D0CCA-2354-4956-88A5-8CAECA924F8F}</x:author>
    <x:author>tc={934A5F55-EEC3-4B7E-B279-AC8ABA6485C8}</x:author>
    <x:author>tc={E43DA09D-D4F4-424D-A29F-BBD551E7884F}</x:author>
    <x:author>tc={3CC9BC11-25FE-4CB6-96F2-38D1BA23B6B0}</x:author>
    <x:author>tc={BDF6D916-2ACB-45F0-82F9-C498743ED9F4}</x:author>
    <x:author>tc={98DC459B-AA0F-4C9E-BB14-FA787B78D163}</x:author>
    <x:author>tc={3E14AC51-5E84-4BE9-BB8C-F708A3C97B41}</x:author>
    <x:author>tc={5EB06682-25BC-43D6-91CB-672E166754C9}</x:author>
    <x:author>tc={DC800BB3-4869-434F-AC2F-F7A2C2A85A3D}</x:author>
    <x:author>tc={FB8EFF89-F692-415A-84C6-1A2414541414}</x:author>
    <x:author>tc={9B01D0BA-3874-402B-86B2-45541D919C64}</x:author>
    <x:author>tc={806361F9-C335-48A8-AE21-A3577329209C}</x:author>
    <x:author>tc={910DB657-843C-4BD9-8B30-D85F8D59EE1C}</x:author>
    <x:author>tc={DD78D89D-60C3-4C3D-AD64-2349485CDBA8}</x:author>
    <x:author>tc={A59448DA-2808-4DE1-9A50-C3841CE6789A}</x:author>
    <x:author>tc={A981D01C-0626-4D2D-A188-FA6515C7EE9B}</x:author>
    <x:author>tc={2408A6E6-DAE5-471F-88D1-88CF0D5CDFFF}</x:author>
    <x:author>tc={2DA1A161-2A59-420A-8568-A32616C6D76F}</x:author>
    <x:author>tc={C7CA9BFA-8F1E-45B1-B38B-B7325CF61272}</x:author>
    <x:author>tc={205BC750-1B0B-48B7-B8A5-154FB1601AC3}</x:author>
    <x:author>tc={22F4AF34-EA96-4707-BA79-C2BA62ED916A}</x:author>
    <x:author>tc={24534391-0FA4-409A-B5C4-480CFEB6BE6E}</x:author>
    <x:author>tc={E4CD1177-7815-442A-8CF7-930579563F31}</x:author>
    <x:author>tc={41D12A70-D200-404E-9CEE-E8C9999B7C51}</x:author>
    <x:author>tc={F2E17AE7-815D-4EE9-96FE-DCC10935CF6C}</x:author>
    <x:author>tc={D42FCA50-CC35-45FD-91FC-FE11605883C0}</x:author>
    <x:author>tc={4AF33887-B36C-40D8-8349-26903FD3838E}</x:author>
    <x:author>tc={B16B799C-5516-4E71-892E-0836A13C6E0D}</x:author>
    <x:author>tc={A43D836B-6F7B-4B0E-B52E-CFBD0FFB0CC7}</x:author>
    <x:author>tc={72F67BC0-9C7E-41CC-8AD4-3BA1E6630FCF}</x:author>
    <x:author>tc={72996A01-A272-4466-87E6-EA4EA2493692}</x:author>
    <x:author>tc={E8A97DC3-5F4A-41A1-8F26-E127090E570F}</x:author>
    <x:author>tc={375BF476-AC24-4148-80D5-2E03BD618335}</x:author>
    <x:author>tc={BFB759AF-FFC7-4DC7-AECC-BB2D3A33010A}</x:author>
    <x:author>tc={0138E8D6-D981-44C6-81FF-35921D5C7758}</x:author>
    <x:author>tc={E3553EEA-AD2E-4BA0-A5F3-22098CB5C246}</x:author>
    <x:author>tc={44E8AB00-A7BE-46C0-96E7-890C36EF2548}</x:author>
    <x:author>tc={BDE58C8D-0655-4A98-B066-6F93BC79B71E}</x:author>
    <x:author>tc={9994057B-BB13-4047-8D3F-9BA448EB4BE2}</x:author>
    <x:author>tc={06F73B89-1584-48C2-8255-241E7EB556F2}</x:author>
    <x:author>tc={B7CD4363-A93A-4A86-AAAE-4AD52AC7F72E}</x:author>
    <x:author>tc={E217C264-993B-4CDF-812A-3680C4EFC7D0}</x:author>
    <x:author>tc={2CD7ED61-25A2-4D64-A3F8-0017E598311D}</x:author>
    <x:author>tc={B86B4348-D3B4-45FF-99BB-D29236551B31}</x:author>
    <x:author>tc={A003C487-C4FF-4C21-B492-80F846FD6464}</x:author>
    <x:author>tc={CAE53190-4076-49AE-BC38-C098D8E62454}</x:author>
    <x:author>tc={6CA7965F-526D-4D3A-B0A8-068668B836AF}</x:author>
    <x:author>tc={74BCEF8E-3FED-470C-90CA-CA706D9B2EA8}</x:author>
    <x:author>tc={4B3C1EE5-8D3B-48AD-842D-D563312E0335}</x:author>
    <x:author>tc={A142E975-1482-4677-9044-1F5D90B69989}</x:author>
    <x:author>tc={0A07D010-8CC4-4880-B2AB-5012E2F0F5B3}</x:author>
    <x:author>tc={B3715DE4-34E8-4A3C-B1BB-1DF87477D99B}</x:author>
    <x:author>tc={0AD0CD66-AC39-4129-9EEC-28E010D25F81}</x:author>
    <x:author>tc={8BA4BFBA-F62B-4FDB-8D57-E20670945B1F}</x:author>
    <x:author>tc={987677C1-B154-49D9-84BE-A91518A39831}</x:author>
    <x:author>tc={689312EA-3A0D-4D38-A3C3-41BF3E4A430B}</x:author>
    <x:author>tc={03295697-93FE-47E1-8E92-065F0730062F}</x:author>
    <x:author>tc={045B24FE-B49C-4A5B-9459-323D51FC03AE}</x:author>
    <x:author>tc={11D88E96-1FB3-4730-B2DB-4095F4E36B97}</x:author>
    <x:author>tc={2407D837-C15B-4232-BE7F-07147CAB1973}</x:author>
    <x:author>tc={E1525AFA-5352-4658-B07F-85591ACD85E3}</x:author>
    <x:author>tc={740A74C9-1BA2-4E27-8038-30B82B817BDE}</x:author>
    <x:author>tc={CC0695D1-7E3A-49A9-9E42-1062C87C0883}</x:author>
    <x:author>tc={C3488022-5FE5-4AF9-8DAF-4BEFA716983F}</x:author>
    <x:author>tc={9D23611F-782C-489A-9180-0C950DC18EDD}</x:author>
    <x:author>tc={3C00AE8B-6667-4F10-90D9-EF2F2F63722C}</x:author>
    <x:author>tc={52CB0406-DBBD-4753-A7E0-98B7150DC069}</x:author>
    <x:author>tc={8D1C1C76-F00E-449D-B9F5-C2A4862B6F51}</x:author>
    <x:author>tc={F1BB50CB-965A-4BB3-AF73-48E848EB3A8C}</x:author>
    <x:author>tc={7F211DE9-313C-42FE-9B17-766ACDEC9B7E}</x:author>
    <x:author>tc={4F3A3E78-9835-4D11-A360-15D98A4E98DE}</x:author>
    <x:author>tc={1F9A45C3-C28D-4A6A-8B74-8723A974BFCE}</x:author>
    <x:author>tc={F19EE065-A830-4B2A-AE0D-74DF4882B61A}</x:author>
    <x:author>tc={2CB4E5B9-8F73-4C21-9E19-94B3BDC5A0C5}</x:author>
    <x:author>tc={0DB9E54E-E0A4-4B25-9A1B-002AD8B200F9}</x:author>
    <x:author>tc={6FF24E8C-CE3D-41D6-9068-79FD6B6FA1D3}</x:author>
    <x:author>tc={AACE1961-5A33-417D-8F0C-E52FCF9065DA}</x:author>
    <x:author>tc={3D142AD2-9928-4F97-8C68-F31E19C0E950}</x:author>
    <x:author>tc={D120F857-50FA-4166-9786-4E6FB55D035E}</x:author>
    <x:author>tc={7DABEE44-9D1D-4A29-AD7D-48E0E1D91A3A}</x:author>
    <x:author>tc={2FE99A24-B14C-416A-B37D-DEC02BEBA486}</x:author>
    <x:author>tc={64CD8841-0DA0-4B3C-9276-51861F0B902A}</x:author>
    <x:author>tc={84FC14F7-2319-48C7-B912-33D5C01C906D}</x:author>
    <x:author>tc={D194D301-81DE-457D-8D46-CD80A29CDCAF}</x:author>
    <x:author>tc={A6581968-F48A-439F-A6D9-29760A6C560A}</x:author>
    <x:author>tc={346F25DA-3B90-4E19-86C0-F4F53A0EE52B}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8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9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9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9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0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0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0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1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4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4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4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4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6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6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6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18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18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18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18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18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0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0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0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0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0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1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1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1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3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3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3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3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4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4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4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4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25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D25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E25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F25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4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8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39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40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41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B42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</x:commentList>
</x:comments>
</file>

<file path=xl/comments5.xml><?xml version="1.0" encoding="utf-8"?>
<x:comments xmlns:x="http://schemas.openxmlformats.org/spreadsheetml/2006/main">
  <x:authors>
    <x:author>tc={B75E8A2E-1BDD-4452-9BD8-7B28F62AB1EC}</x:author>
    <x:author>tc={AD276793-E7BC-4573-AE9D-A7665934C032}</x:author>
    <x:author>tc={27E3B6AF-B61D-44A9-AE3E-55EDEC57F10B}</x:author>
    <x:author>tc={3FB8E86D-806D-46CD-98AC-BC5BE82EBA79}</x:author>
    <x:author>tc={4CFF08A9-5047-4488-AEB6-CB35B9623820}</x:author>
    <x:author>tc={624FF196-6E2C-466F-B590-0C673C7A02CB}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C1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D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E1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F1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  <x:comment ref="G1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NCI income immaterial in forecasts; retained NCI included in EV and opening balance.</x:t>
        </x:r>
      </x:text>
    </x:comment>
  </x:commentList>
</x:comments>
</file>

<file path=xl/comments6.xml><?xml version="1.0" encoding="utf-8"?>
<x:comments xmlns:x="http://schemas.openxmlformats.org/spreadsheetml/2006/main">
  <x:authors>
    <x:author>tc={D44629B2-0FEF-408C-BB78-CA744C659CBE}</x:author>
    <x:author>tc={667F0D04-7FF4-4A65-B166-FA9F0A82C1FF}</x:author>
    <x:author>tc={EAA11866-9DE7-4247-9CF7-EF6B0D63E451}</x:author>
    <x:author>tc={6C84805B-0CF4-41B2-A2BB-7486BD4E749E}</x:author>
    <x:author>tc={C187F38C-C6D3-447D-9EB4-6FD3FB8815CB}</x:author>
    <x:author>tc={83283212-BBAA-4384-94E8-380B8E78DB4D}</x:author>
    <x:author>tc={97984903-8246-440E-B6F1-8AAF8BF8FA43}</x:author>
    <x:author>tc={63508DA9-6C7B-46BD-A3B5-229505E1B8A5}</x:author>
    <x:author>tc={510E9AE8-45D2-4119-899F-4CCB9E78B695}</x:author>
    <x:author>tc={57E03DA8-6DFE-42B9-936E-29B1768A7688}</x:author>
    <x:author>tc={FC156891-B532-457A-B191-152495E4A0F4}</x:author>
    <x:author>tc={8CD8635C-3AC8-437D-BA77-7975D9662381}</x:author>
    <x:author>tc={9163A39B-3ECB-4918-896E-BD1382517AC5}</x:author>
    <x:author>tc={8DCC0CBF-2B09-4216-9CE6-1167F15206F2}</x:author>
    <x:author>tc={1DBCABEA-4014-424E-B64B-F62E52D365C9}</x:author>
    <x:author>tc={C06B0EE8-E726-4900-9269-3981A2D4BD10}</x:author>
    <x:author>tc={CA6A560F-94BE-4756-B249-44BC02180B37}</x:author>
    <x:author>tc={3A7B4C47-DC09-4A5D-AFAC-4B7C921F7940}</x:author>
    <x:author>tc={0B523945-7773-46D0-A5CF-0E64A6B1CBE5}</x:author>
    <x:author>tc={227D4476-1B2F-49A9-9E5A-ABEB01F88D85}</x:author>
    <x:author>tc={2E2D9CDF-A7AC-4B95-BBA7-31D6C3AF7F2D}</x:author>
    <x:author>tc={6DE101CC-6A92-4529-839E-DA1AD8271902}</x:author>
    <x:author>tc={ED7E3AD7-66B6-4F97-BAA9-A7FC05580848}</x:author>
    <x:author>tc={7F3A2713-2419-4DB1-BB01-806C907A4092}</x:author>
    <x:author>tc={D9DC316C-8830-4895-AC64-FD0322F3760A}</x:author>
    <x:author>tc={1F46C595-0486-4F9C-B4E6-3FA8F5219B8E}</x:author>
    <x:author>tc={7775AE9F-2B33-46A6-8B58-641355F07F15}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TEAM_P: TEAM historical close, 4 September 2026. Published 2026-09-04. https://investors.atlassian.com/stock-information/default.aspx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E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F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B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C1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forward growth; Atlassian equals FY27 guidance, others are analyst forecasts.</x:t>
        </x:r>
      </x:text>
    </x:comment>
    <x:comment ref="D1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E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F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TEAM_Q: Atlassian FY2026 results; June year end and FY2027 guidance. Published 2026-08-06. https://investors.atlassian.com/news/news-details/2026/Atlassian-Announces-Fourth-Quarter-and-Fiscal-Year-2026-Results/default.aspx</x:t>
        </x:r>
      </x:text>
    </x:comment>
    <x:comment ref="B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DDOG_P: DDOG historical close, 4 September 2026. Published 2026-09-04. https://finance.yahoo.com/quote/DDOG/history/</x:t>
        </x:r>
      </x:text>
    </x:comment>
    <x:comment ref="C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E6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F6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C1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forward growth; Atlassian equals FY27 guidance, others are analyst forecasts.</x:t>
        </x:r>
      </x:text>
    </x:comment>
    <x:comment ref="D1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E16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F1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DDOG_Q: Datadog Q2 CY2026 results; June balance sheet and guidance. Published 2026-08-06. https://investors.datadoghq.com/news-releases/news-release-details/datadog-announces-second-quarter-2026-financial-results</x:t>
        </x:r>
      </x:text>
    </x:comment>
    <x:comment ref="B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FROG_P: FROG historical close, 4 September 2026. Published 2026-09-04. https://investors.jfrog.com/stock-info/stock-quote/default.aspx</x:t>
        </x:r>
      </x:text>
    </x:comment>
    <x:comment ref="C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E7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F7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B1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C1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forward growth; Atlassian equals FY27 guidance, others are analyst forecasts.</x:t>
        </x:r>
      </x:text>
    </x:comment>
    <x:comment ref="D1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E1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  <x:comment ref="F1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FROG_Q: JFrog Q2 CY2026 results; June balance sheet and guidance. Published 2026-08-06. https://investors.jfrog.com/news/news-details/2026/JFrog-Announces-Second-Quarter-2026-Results/default.aspx</x:t>
        </x:r>
      </x:text>
    </x:comment>
  </x:commentList>
</x:comments>
</file>

<file path=xl/comments7.xml><?xml version="1.0" encoding="utf-8"?>
<x:comments xmlns:x="http://schemas.openxmlformats.org/spreadsheetml/2006/main">
  <x:authors>
    <x:author>tc={061EEE32-85D7-4B29-A351-C124755B9B86}</x:author>
    <x:author>tc={162BA496-6009-4B6B-A272-ACC2C0B75E0D}</x:author>
    <x:author>tc={62849DCF-EF9E-40A0-91BF-EABC93D9ADA5}</x:author>
    <x:author>tc={EBA7319A-9EBE-4DA5-B164-B8CAA09C06B1}</x:author>
    <x:author>tc={E4CD13E8-2623-431B-B607-346087B6DE51}</x:author>
    <x:author>tc={430374FE-C377-41A2-9B18-6DAABF9103B8}</x:author>
    <x:author>tc={702AE0DD-6952-4A59-9845-BC3B4EEB5C5D}</x:author>
    <x:author>tc={4A76A5AC-7D97-4401-B806-CADBADDAD8D7}</x:author>
    <x:author>tc={4C298489-22D5-4518-BF6E-F8D754907CF8}</x:author>
    <x:author>tc={B2E9F8DE-384B-449F-B440-9CCE92B3D5E3}</x:author>
    <x:author>tc={B56B86C2-A452-4D42-9AD0-35942EFA879C}</x:author>
    <x:author>tc={AB97A931-14C8-4F59-86CE-4CA48FC90EF5}</x:author>
    <x:author>tc={A210CD5F-E9D8-4DC4-9525-9E5F5249574A}</x:author>
    <x:author>tc={02AF20CA-6CEF-44AD-83C6-3E22DB9968EB}</x:author>
    <x:author>tc={9CF24492-3F8C-47CA-B9B7-82C7A7713924}</x:author>
    <x:author>tc={7A78003D-3DB6-4FBD-8432-1F592B7ACDC2}</x:author>
    <x:author>tc={E1EC8616-5AEA-462A-A45D-CB9A3ED1CC61}</x:author>
    <x:author>tc={11DFF6F3-F8E8-44FB-910C-A0582ADA5D9F}</x:author>
    <x:author>tc={1A735A08-7BFB-4886-8CCB-355EF5FDDCD3}</x:author>
    <x:author>tc={FA1B1FBE-0002-402A-91CD-77CDAFC5228C}</x:author>
    <x:author>tc={40F5B655-1B89-4E19-999A-FDE59DF33E2B}</x:author>
    <x:author>tc={DAE41D2F-B773-41DD-A1BB-213967422DFD}</x:author>
    <x:author>tc={6D5C39EA-48A3-4E29-8B06-05E8F01E5374}</x:author>
    <x:author>tc={C9C4BFC5-CA12-42CE-88F1-8EB92143432F}</x:author>
    <x:author>tc={63A23F48-15CC-47C4-A8F4-EC73CD7F65DB}</x:author>
    <x:author>tc={C1A5D1C0-1584-424D-B29D-5C2EAE87790C}</x:author>
    <x:author>tc={71B9A562-808E-45AE-9B39-E68101F5330C}</x:author>
    <x:author>tc={94D67257-46EC-4643-9DEB-7E819DD6BB16}</x:author>
  </x:authors>
  <x:commentList>
    <x:comment ref="A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</x:t>
        </x:r>
      </x:text>
    </x:comment>
    <x:comment ref="A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</x:t>
        </x:r>
      </x:text>
    </x:comment>
    <x:comment ref="A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</x:t>
        </x:r>
      </x:text>
    </x:comment>
    <x:comment ref="A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</x:t>
        </x:r>
      </x:text>
    </x:comment>
    <x:comment ref="A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</x:t>
        </x:r>
      </x:text>
    </x:comment>
    <x:comment ref="B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driver, not forecast.</x:t>
        </x:r>
      </x:text>
    </x:comment>
    <x:comment ref="C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driver, not forecast.</x:t>
        </x:r>
      </x:text>
    </x:comment>
    <x:comment ref="D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driver, not forecast.</x:t>
        </x:r>
      </x:text>
    </x:comment>
    <x:comment ref="E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driver, not forecast.</x:t>
        </x:r>
      </x:text>
    </x:comment>
    <x:comment ref="F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sensitivity driver, not forecast.</x:t>
        </x:r>
      </x:text>
    </x:comment>
    <x:comment ref="B1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1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1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1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1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B1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1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1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B1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18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1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B1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19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1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B2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C20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  <x:comment ref="D2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financing scenario</x:t>
        </x:r>
      </x:text>
    </x:comment>
  </x:commentList>
</x:comments>
</file>

<file path=xl/comments8.xml><?xml version="1.0" encoding="utf-8"?>
<x:comments xmlns:x="http://schemas.openxmlformats.org/spreadsheetml/2006/main">
  <x:authors>
    <x:author>tc={A5710658-EFA4-4CA9-80AF-67312C701B44}</x:author>
    <x:author>tc={2E372EDB-4324-4663-B0D4-09E68B33E3C3}</x:author>
    <x:author>tc={9C030081-A9BF-4E24-84AC-86F9F8880C03}</x:author>
    <x:author>tc={63B76ED1-C7CD-4C84-AA1A-B3DB25173C25}</x:author>
    <x:author>tc={D6309CFF-B44B-4ADC-B815-73F1084AA67B}</x:author>
    <x:author>tc={5CAED859-1ECE-46F6-934C-A82831655DC6}</x:author>
    <x:author>tc={9727020E-B2ED-4A5B-9A09-6407FACEAC3C}</x:author>
    <x:author>tc={F617D297-C6B5-4D87-AE90-3D5D647951BA}</x:author>
    <x:author>tc={DFC5F922-859E-48D5-8231-60819BA0CE6D}</x:author>
    <x:author>tc={F411D527-EEA2-4266-A6F1-7C7DDA9A7953}</x:author>
    <x:author>tc={CA5CE5BE-E8D1-461F-A44A-569AAFA2ECBF}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HCP_DEAL: IBM announces HashiCorp; EV explicitly net of cash. Published 2024-04-24. https://newsroom.ibm.com/2024-04-24-IBM-to-Acquire-HashiCorp-Inc-Creating-a-Comprehensive-End-to-End-Hybrid-Cloud-Platform</x:t>
        </x:r>
      </x:text>
    </x:comment>
    <x:comment ref="B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HCP_REV: HashiCorp FY2024 earnings release, available before announcement. Published 2024-03-05. https://www.globenewswire.com/news-release/2024/03/05/2840892/0/en/hashicorp-announces-fourth-quarter-and-fiscal-year-2024-financial-results.html</x:t>
        </x:r>
      </x:text>
    </x:comment>
    <x:comment ref="F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HCP_DEAL: IBM announces HashiCorp; EV explicitly net of cash. Published 2024-04-24. https://newsroom.ibm.com/2024-04-24-IBM-to-Acquire-HashiCorp-Inc-Creating-a-Comprehensive-End-to-End-Hybrid-Cloud-Platform</x:t>
        </x:r>
      </x:text>
    </x:comment>
    <x:comment ref="C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NEWR_DEAL: New Relic acquisition announcement; equity value and premium basis. Published 2023-07-31. https://newrelic.com/press-release/20230731</x:t>
        </x:r>
      </x:text>
    </x:comment>
    <x:comment ref="F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NEWR_DEAL: New Relic acquisition announcement; equity value and premium basis. Published 2023-07-31. https://newrelic.com/press-release/20230731</x:t>
        </x:r>
      </x:text>
    </x:comment>
    <x:comment ref="C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SUMO_DEAL: Sumo Logic announcement; equity value and unaffected premium. Published 2023-02-09. https://www.franciscopartners.com/media/sumo-logic-to-be-acquired-by-francisco-partners-for-17-billion</x:t>
        </x:r>
      </x:text>
    </x:comment>
    <x:comment ref="F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SUMO_DEAL: Sumo Logic announcement; equity value and unaffected premium. Published 2023-02-09. https://www.franciscopartners.com/media/sumo-logic-to-be-acquired-by-francisco-partners-for-17-billion</x:t>
        </x:r>
      </x:text>
    </x:comment>
    <x:comment ref="C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GH_DEAL: Microsoft announces GitHub; stock consideration. Published 2018-06-04. https://news.microsoft.com/source/2018/06/04/microsoft-to-acquire-github-for-7-5-billion/</x:t>
        </x:r>
      </x:text>
    </x:comment>
    <x:comment ref="F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GH_DEAL: Microsoft announces GitHub; stock consideration. Published 2018-06-04. https://news.microsoft.com/source/2018/06/04/microsoft-to-acquire-github-for-7-5-billion/</x:t>
        </x:r>
      </x:text>
    </x:comment>
    <x:comment ref="C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APPD_DEAL: Cisco announces AppDynamics; cash and assumed equity awards. Published 2017-01-24. https://newsroom.cisco.com/press-release-content?articleId=1817404&amp;type=webcontent</x:t>
        </x:r>
      </x:text>
    </x:comment>
    <x:comment ref="F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APPD_DEAL: Cisco announces AppDynamics; cash and assumed equity awards. Published 2017-01-24. https://newsroom.cisco.com/press-release-content?articleId=1817404&amp;type=webcontent</x:t>
        </x:r>
      </x:text>
    </x:comment>
  </x:commentList>
</x:comments>
</file>

<file path=xl/comments9.xml><?xml version="1.0" encoding="utf-8"?>
<x:comments xmlns:x="http://schemas.openxmlformats.org/spreadsheetml/2006/main">
  <x:authors>
    <x:author>tc={D11182CB-F85E-45C1-B770-54502D20CD8B}</x:author>
    <x:author>tc={24C6E44F-1E4D-4132-A8D6-DF9F3AC1AA20}</x:author>
    <x:author>tc={31D46721-6C08-4A2A-BDBC-9AA10EDA1FF4}</x:author>
    <x:author>tc={0634A8F2-4A53-4E53-A2B5-2A01EDBD134A}</x:author>
    <x:author>tc={2DED14EA-4F76-4422-BF53-F151C18C7BCF}</x:author>
    <x:author>tc={552DC585-1A17-4C33-89DF-2E5B45684A90}</x:author>
    <x:author>tc={F542B98E-8AE4-4E5D-9AD9-30F3C2324485}</x:author>
    <x:author>tc={5A51409E-F86D-4092-A108-8A423A16A80D}</x:author>
    <x:author>tc={31F00BB7-EEF5-41C4-B94E-B5E6A7D958A9}</x:author>
    <x:author>tc={A5FF10FD-FBEC-4A27-A34E-49E78B339627}</x:author>
    <x:author>tc={42629F11-9711-45A4-84AE-332F3D0D86ED}</x:author>
    <x:author>tc={F007DC8B-45AB-41E6-873A-063C60E17575}</x:author>
    <x:author>tc={7FF124D9-F865-432D-9A58-6DAEC0A0985A}</x:author>
    <x:author>tc={53006D73-E1BD-438A-ACF3-02824E82D47E}</x:author>
    <x:author>tc={4026F73D-CE0B-4759-A66F-506B3535741C}</x:author>
    <x:author>tc={90CB8483-AFBA-4DD2-866E-5EAF6F651A7C}</x:author>
    <x:author>tc={54A8FBE1-FDA2-49CB-BB3C-65494765AA5D}</x:author>
    <x:author>tc={1F6D465B-A650-47DA-8776-294DE326B34C}</x:author>
    <x:author>tc={C76BA2F1-50BB-4537-9F73-FB5F7F2203FB}</x:author>
    <x:author>tc={D76C4297-B3E5-4182-A36A-44EB892D8153}</x:author>
  </x:authors>
  <x:commentList>
    <x:comment ref="C1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1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C2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C2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CRM_K26: Salesforce FY2026 10-K; annual statements FY2024-26. Published 2026-03-02. https://d18rn0p25nwr6d.cloudfront.net/CIK-0001108524/c44246da-3bfa-4f76-beb5-d9270f4e339f.html</x:t>
        </x:r>
      </x:text>
    </x:comment>
    <x:comment ref="C2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C2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CRM_Q27: Salesforce Q2 FY2027 earnings release; H1 and balance sheet. Published 2026-08-26. https://investor.salesforce.com/news/news-details/2026/Salesforce-Delivers-Record-Second-Quarter-Fiscal-2027-Results/default.aspx</x:t>
        </x:r>
      </x:text>
    </x:comment>
    <x:comment ref="C26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2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2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2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C30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C3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GTLB_F25: GitLab FY2025 release; FY2024 comparative only. Published 2025-03-03. https://ir.gitlab.com/news/news-details/2025/GitLab-Reports-Fourth-Quarter-and-Full-Fiscal-Year-2025-Financial-Results/default.aspx</x:t>
        </x:r>
      </x:text>
    </x:comment>
    <x:comment ref="C3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33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GTLB_F26: GitLab FY2026 earnings release filed as SEC exhibit; FY2025 comparative. Published 2026-03-03. https://www.sec.gov/Archives/edgar/data/1653482/000162828026013795/gitlab-ex99120260131fy26.htm</x:t>
        </x:r>
      </x:text>
    </x:comment>
    <x:comment ref="C3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  <x:comment ref="C3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GTLB_Q27: GitLab Q2 FY2027 earnings release; H1 statements and balance sheet. Published 2026-09-01. https://ir.gitlab.com/news/news-details/2026/GitLab-Reports-Second-Quarter-Fiscal-Year-2027-Financial-Results/default.aspx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;[Red](#,##0.0);&quot;-&quot;"/>
    <x:numFmt numFmtId="201" formatCode="0.0%;[Red](0.0%);&quot;-&quot;"/>
    <x:numFmt numFmtId="202" formatCode="$0.00;[Red]($0.00);&quot;-&quot;"/>
    <x:numFmt numFmtId="203" formatCode="dd mmm yyyy"/>
    <x:numFmt numFmtId="204" formatCode="0.000000"/>
    <x:numFmt numFmtId="205" formatCode="0.0&quot;x&quot;"/>
    <x:numFmt numFmtId="206" formatCode="0.0000&quot;x&quot;"/>
    <x:numFmt numFmtId="207" formatCode="0.000000;[Red](0.000000);&quot;-&quot;"/>
    <x:numFmt numFmtId="208" formatCode="General"/>
    <x:numFmt numFmtId="209" formatCode="$0.00;[Red]($0.00);-"/>
  </x:numFmts>
  <x:fonts count="2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color rgb="FF526277"/>
      <x:name val="Arial"/>
    </x:font>
    <x:font>
      <x:sz val="11"/>
      <x:color rgb="FF0000FF"/>
      <x:name val="Arial"/>
    </x:font>
    <x:font>
      <x:sz val="10"/>
      <x:name val="Arial"/>
    </x:font>
    <x:font>
      <x:sz val="11"/>
      <x:color rgb="FF0000FF"/>
      <x:name val="Carlito"/>
    </x:font>
    <x:font>
      <x:sz val="10"/>
      <x:name val="Carlito"/>
    </x:font>
    <x:font>
      <x:b/>
      <x:sz val="11"/>
      <x:color rgb="FFFFFFFF"/>
      <x:name val="Carlito"/>
    </x:font>
    <x:font>
      <x:sz val="10"/>
      <x:color rgb="FF526277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name val="Arial"/>
    </x:font>
    <x:font>
      <x:b/>
      <x:sz val="11"/>
      <x:color rgb="FF000000"/>
      <x:name val="Arial"/>
    </x:font>
    <x:font>
      <x:b/>
      <x:sz val="11"/>
      <x:color rgb="FF008000"/>
      <x:name val="Arial"/>
    </x:font>
    <x:font>
      <x:sz val="9"/>
      <x:name val="Arial"/>
    </x:font>
    <x:font>
      <x:sz val="9"/>
      <x:color rgb="FF000000"/>
      <x:name val="Arial"/>
    </x:font>
    <x:font>
      <x:b/>
      <x:sz val="10"/>
      <x:color rgb="FF526277"/>
      <x:name val="Arial"/>
    </x:font>
    <x:font>
      <x:b/>
      <x:sz val="11"/>
      <x:name val="Carlito"/>
    </x:font>
    <x:font>
      <x:b/>
      <x:sz val="10"/>
      <x:name val="Arial"/>
    </x:font>
    <x:font>
      <x:b/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EAF1F5"/>
      </x:patternFill>
    </x:fill>
    <x:fill>
      <x:patternFill patternType="solid">
        <x:fgColor rgb="FFE6EEF4"/>
      </x:patternFill>
    </x:fill>
    <x:fill>
      <x:patternFill patternType="solid">
        <x:fgColor rgb="FFD9E2F3"/>
      </x:patternFill>
    </x:fill>
  </x:fills>
  <x:borders count="3">
    <x:border/>
    <x:border>
      <x:top style="thin">
        <x:color rgb="FF142C49"/>
      </x:top>
    </x:border>
    <x:border>
      <x:bottom style="thin">
        <x:color rgb="FF7F8C8D"/>
      </x:bottom>
    </x:border>
  </x:borders>
  <x:cellStyleXfs count="1">
    <x:xf numFmtId="0" fontId="0" fillId="0" borderId="0"/>
  </x:cellStyleXfs>
  <x:cellXfs count="19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6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8" fillId="2" borderId="0" xfId="0" applyNumberFormat="1" applyFont="1" applyFill="1" applyBorder="1"/>
    <x:xf numFmtId="200" fontId="8" fillId="2" borderId="0" xfId="0" applyNumberFormat="1" applyFont="1" applyFill="1" applyBorder="1"/>
    <x:xf numFmtId="201" fontId="0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/>
    <x:xf numFmtId="200" fontId="11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0" borderId="0" xfId="0" applyNumberFormat="1" applyFont="1" applyFill="1" applyBorder="1"/>
    <x:xf numFmtId="200" fontId="12" fillId="0" borderId="0" xfId="0" applyNumberFormat="1" applyFont="1" applyFill="1" applyBorder="1"/>
    <x:xf numFmtId="200" fontId="13" fillId="0" borderId="0" xfId="0" applyNumberFormat="1" applyFont="1" applyFill="1" applyBorder="1"/>
    <x:xf numFmtId="202" fontId="12" fillId="0" borderId="0" xfId="0" applyNumberFormat="1" applyFont="1" applyFill="1" applyBorder="1"/>
    <x:xf numFmtId="201" fontId="12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2" fillId="3" borderId="0" xfId="0" applyNumberFormat="1" applyFont="1" applyFill="1" applyBorder="1"/>
    <x:xf numFmtId="0" fontId="14" fillId="3" borderId="0" xfId="0" applyNumberFormat="1" applyFont="1" applyFill="1" applyBorder="1"/>
    <x:xf numFmtId="200" fontId="15" fillId="3" borderId="0" xfId="0" applyNumberFormat="1" applyFont="1" applyFill="1" applyBorder="1"/>
    <x:xf numFmtId="0" fontId="14" fillId="3" borderId="1" xfId="0" applyNumberFormat="1" applyFont="1" applyFill="1" applyBorder="1"/>
    <x:xf numFmtId="200" fontId="15" fillId="3" borderId="1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201" fontId="13" fillId="0" borderId="0" xfId="0" applyNumberFormat="1" applyFont="1" applyFill="1" applyBorder="1"/>
    <x:xf numFmtId="200" fontId="13" fillId="3" borderId="0" xfId="0" applyNumberFormat="1" applyFont="1" applyFill="1" applyBorder="1"/>
    <x:xf numFmtId="200" fontId="16" fillId="3" borderId="0" xfId="0" applyNumberFormat="1" applyFont="1" applyFill="1" applyBorder="1"/>
    <x:xf numFmtId="200" fontId="16" fillId="3" borderId="1" xfId="0" applyNumberFormat="1" applyFont="1" applyFill="1" applyBorder="1"/>
    <x:xf numFmtId="202" fontId="12" fillId="3" borderId="0" xfId="0" applyNumberFormat="1" applyFont="1" applyFill="1" applyBorder="1"/>
    <x:xf numFmtId="202" fontId="15" fillId="3" borderId="0" xfId="0" applyNumberFormat="1" applyFont="1" applyFill="1" applyBorder="1"/>
    <x:xf numFmtId="202" fontId="15" fillId="3" borderId="1" xfId="0" applyNumberFormat="1" applyFont="1" applyFill="1" applyBorder="1"/>
    <x:xf numFmtId="202" fontId="13" fillId="0" borderId="0" xfId="0" applyNumberFormat="1" applyFont="1" applyFill="1" applyBorder="1"/>
    <x:xf numFmtId="205" fontId="13" fillId="0" borderId="0" xfId="0" applyNumberFormat="1" applyFont="1" applyFill="1" applyBorder="1"/>
    <x:xf numFmtId="200" fontId="1" fillId="3" borderId="0" xfId="0" applyNumberFormat="1" applyFont="1" applyFill="1" applyBorder="1"/>
    <x:xf numFmtId="200" fontId="14" fillId="3" borderId="0" xfId="0" applyNumberFormat="1" applyFont="1" applyFill="1" applyBorder="1"/>
    <x:xf numFmtId="200" fontId="14" fillId="3" borderId="1" xfId="0" applyNumberFormat="1" applyFont="1" applyFill="1" applyBorder="1"/>
    <x:xf numFmtId="201" fontId="12" fillId="3" borderId="0" xfId="0" applyNumberFormat="1" applyFont="1" applyFill="1" applyBorder="1"/>
    <x:xf numFmtId="201" fontId="15" fillId="3" borderId="0" xfId="0" applyNumberFormat="1" applyFont="1" applyFill="1" applyBorder="1"/>
    <x:xf numFmtId="201" fontId="15" fillId="3" borderId="1" xfId="0" applyNumberFormat="1" applyFont="1" applyFill="1" applyBorder="1"/>
    <x:xf numFmtId="202" fontId="13" fillId="3" borderId="0" xfId="0" applyNumberFormat="1" applyFont="1" applyFill="1" applyBorder="1"/>
    <x:xf numFmtId="202" fontId="16" fillId="3" borderId="0" xfId="0" applyNumberFormat="1" applyFont="1" applyFill="1" applyBorder="1"/>
    <x:xf numFmtId="202" fontId="16" fillId="3" borderId="1" xfId="0" applyNumberFormat="1" applyFont="1" applyFill="1" applyBorder="1"/>
    <x:xf numFmtId="0" fontId="10" fillId="0" borderId="0" xfId="0" applyNumberFormat="1" applyFont="1" applyFill="1" applyBorder="1"/>
    <x:xf numFmtId="205" fontId="10" fillId="0" borderId="0" xfId="0" applyNumberFormat="1" applyFont="1" applyFill="1" applyBorder="1"/>
    <x:xf numFmtId="201" fontId="10" fillId="0" borderId="0" xfId="0" applyNumberFormat="1" applyFont="1" applyFill="1" applyBorder="1"/>
    <x:xf numFmtId="205" fontId="12" fillId="0" borderId="0" xfId="0" applyNumberFormat="1" applyFont="1" applyFill="1" applyBorder="1"/>
    <x:xf numFmtId="205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2" fillId="0" borderId="0" xfId="0" applyNumberFormat="1" applyFont="1" applyFill="1" applyBorder="1"/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202" fontId="1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17" fillId="0" borderId="0" xfId="0" applyNumberFormat="1" applyFont="1" applyFill="1" applyBorder="1"/>
    <x:xf numFmtId="201" fontId="18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wrapText="1"/>
    </x:xf>
    <x:xf numFmtId="200" fontId="3" fillId="0" borderId="0" xfId="0" applyNumberFormat="1" applyFont="1" applyFill="1" applyBorder="1" applyAlignment="1">
      <x:alignment horizontal="right" wrapText="1"/>
    </x:xf>
    <x:xf numFmtId="200" fontId="1" fillId="0" borderId="0" xfId="0" applyNumberFormat="1" applyFont="1" applyFill="1" applyBorder="1" applyAlignment="1">
      <x:alignment horizontal="right"/>
    </x:xf>
    <x:xf numFmtId="200" fontId="13" fillId="0" borderId="0" xfId="0" applyNumberFormat="1" applyFont="1" applyFill="1" applyBorder="1" applyAlignment="1">
      <x:alignment horizontal="right"/>
    </x:xf>
    <x:xf numFmtId="202" fontId="13" fillId="0" borderId="0" xfId="0" applyNumberFormat="1" applyFont="1" applyFill="1" applyBorder="1" applyAlignment="1">
      <x:alignment horizontal="right"/>
    </x:xf>
    <x:xf numFmtId="201" fontId="13" fillId="0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0" fontId="3" fillId="3" borderId="0" xfId="0" applyNumberFormat="1" applyFont="1" applyFill="1" applyBorder="1" applyAlignment="1">
      <x:alignment horizontal="right" wrapText="1"/>
    </x:xf>
    <x:xf numFmtId="0" fontId="19" fillId="3" borderId="0" xfId="0" applyNumberFormat="1" applyFont="1" applyFill="1" applyBorder="1" applyAlignment="1">
      <x:alignment horizontal="right" wrapText="1"/>
    </x:xf>
    <x:xf numFmtId="0" fontId="8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 wrapText="1"/>
    </x:xf>
    <x:xf numFmtId="201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0" fontId="6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 wrapText="1"/>
    </x:xf>
    <x:xf numFmtId="201" fontId="6" fillId="0" borderId="0" xfId="0" applyNumberFormat="1" applyFont="1" applyFill="1" applyBorder="1" applyAlignment="1">
      <x:alignment horizontal="right"/>
    </x:xf>
    <x:xf numFmtId="204" fontId="6" fillId="0" borderId="0" xfId="0" applyNumberFormat="1" applyFont="1" applyFill="1" applyBorder="1" applyAlignment="1">
      <x:alignment horizontal="right"/>
    </x:xf>
    <x:xf numFmtId="200" fontId="8" fillId="2" borderId="0" xfId="0" applyNumberFormat="1" applyFont="1" applyFill="1" applyBorder="1" applyAlignment="1">
      <x:alignment horizontal="right"/>
    </x:xf>
    <x:xf numFmtId="201" fontId="11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 applyAlignment="1">
      <x:alignment horizontal="right" wrapText="1"/>
    </x:xf>
    <x:xf numFmtId="200" fontId="10" fillId="0" borderId="0" xfId="0" applyNumberFormat="1" applyFont="1" applyFill="1" applyBorder="1" applyAlignment="1">
      <x:alignment horizontal="right"/>
    </x:xf>
    <x:xf numFmtId="200" fontId="11" fillId="0" borderId="0" xfId="0" applyNumberFormat="1" applyFont="1" applyFill="1" applyBorder="1" applyAlignment="1">
      <x:alignment horizontal="right"/>
    </x:xf>
    <x:xf numFmtId="0" fontId="9" fillId="0" borderId="0" xfId="0" applyNumberFormat="1" applyFont="1" applyFill="1" applyBorder="1" applyAlignment="1">
      <x:alignment horizontal="right" wrapText="1"/>
    </x:xf>
    <x:xf numFmtId="0" fontId="1" fillId="3" borderId="0" xfId="0" applyNumberFormat="1" applyFont="1" applyFill="1" applyBorder="1" applyAlignment="1">
      <x:alignment horizontal="right"/>
    </x:xf>
    <x:xf numFmtId="0" fontId="14" fillId="3" borderId="0" xfId="0" applyNumberFormat="1" applyFont="1" applyFill="1" applyBorder="1" applyAlignment="1">
      <x:alignment horizontal="right"/>
    </x:xf>
    <x:xf numFmtId="0" fontId="14" fillId="3" borderId="0" xfId="0" applyNumberFormat="1" applyFont="1" applyFill="1" applyBorder="1" applyAlignment="1">
      <x:alignment horizontal="right" wrapText="1"/>
    </x:xf>
    <x:xf numFmtId="0" fontId="14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horizontal="right"/>
    </x:xf>
    <x:xf numFmtId="200" fontId="15" fillId="3" borderId="1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 applyAlignment="1">
      <x:alignment horizontal="right"/>
    </x:xf>
    <x:xf numFmtId="201" fontId="17" fillId="0" borderId="0" xfId="0" applyNumberFormat="1" applyFont="1" applyFill="1" applyBorder="1" applyAlignment="1">
      <x:alignment horizontal="right"/>
    </x:xf>
    <x:xf numFmtId="201" fontId="18" fillId="0" borderId="0" xfId="0" applyNumberFormat="1" applyFont="1" applyFill="1" applyBorder="1" applyAlignment="1">
      <x:alignment horizontal="right"/>
    </x:xf>
    <x:xf numFmtId="200" fontId="2" fillId="2" borderId="0" xfId="0" applyNumberFormat="1" applyFont="1" applyFill="1" applyBorder="1" applyAlignment="1">
      <x:alignment horizontal="right"/>
    </x:xf>
    <x:xf numFmtId="200" fontId="16" fillId="3" borderId="1" xfId="0" applyNumberFormat="1" applyFont="1" applyFill="1" applyBorder="1" applyAlignment="1">
      <x:alignment horizontal="right"/>
    </x:xf>
    <x:xf numFmtId="202" fontId="15" fillId="3" borderId="1" xfId="0" applyNumberFormat="1" applyFont="1" applyFill="1" applyBorder="1" applyAlignment="1">
      <x:alignment horizontal="right"/>
    </x:xf>
    <x:xf numFmtId="202" fontId="16" fillId="3" borderId="1" xfId="0" applyNumberFormat="1" applyFont="1" applyFill="1" applyBorder="1" applyAlignment="1">
      <x:alignment horizontal="right"/>
    </x:xf>
    <x:xf numFmtId="200" fontId="14" fillId="3" borderId="1" xfId="0" applyNumberFormat="1" applyFont="1" applyFill="1" applyBorder="1" applyAlignment="1">
      <x:alignment horizontal="right"/>
    </x:xf>
    <x:xf numFmtId="205" fontId="13" fillId="0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wrapText="1"/>
    </x:xf>
    <x:xf numFmtId="201" fontId="15" fillId="3" borderId="1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 applyAlignment="1">
      <x:alignment horizontal="right"/>
    </x:xf>
    <x:xf numFmtId="202" fontId="11" fillId="0" borderId="0" xfId="0" applyNumberFormat="1" applyFont="1" applyFill="1" applyBorder="1" applyAlignment="1">
      <x:alignment horizontal="right"/>
    </x:xf>
    <x:xf numFmtId="205" fontId="12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5" fontId="1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left" wrapText="1"/>
    </x:xf>
    <x:xf numFmtId="200" fontId="7" fillId="0" borderId="0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 applyAlignment="1">
      <x:alignment horizontal="right"/>
    </x:xf>
    <x:xf numFmtId="200" fontId="14" fillId="0" borderId="0" xfId="0" applyNumberFormat="1" applyFont="1" applyFill="1" applyBorder="1" applyAlignment="1">
      <x:alignment horizontal="right" wrapText="1"/>
    </x:xf>
    <x:xf numFmtId="200" fontId="1" fillId="0" borderId="0" xfId="0" applyNumberFormat="1" applyFont="1" applyFill="1" applyBorder="1" applyAlignment="1">
      <x:alignment horizontal="right" wrapText="1"/>
    </x:xf>
    <x:xf numFmtId="200" fontId="4" fillId="0" borderId="0" xfId="0" applyNumberFormat="1" applyFont="1" applyFill="1" applyBorder="1" applyAlignment="1">
      <x:alignment horizontal="right" wrapText="1"/>
    </x:xf>
    <x:xf numFmtId="205" fontId="12" fillId="0" borderId="0" xfId="0" applyNumberFormat="1" applyFont="1" applyFill="1" applyBorder="1" applyAlignment="1">
      <x:alignment horizontal="right" wrapText="1"/>
    </x:xf>
    <x:xf numFmtId="201" fontId="1" fillId="0" borderId="0" xfId="0" applyNumberFormat="1" applyFont="1" applyFill="1" applyBorder="1" applyAlignment="1">
      <x:alignment horizontal="right" wrapText="1"/>
    </x:xf>
    <x:xf numFmtId="205" fontId="1" fillId="0" borderId="0" xfId="0" applyNumberFormat="1" applyFont="1" applyFill="1" applyBorder="1" applyAlignment="1">
      <x:alignment horizontal="right" wrapText="1"/>
    </x:xf>
    <x:xf numFmtId="201" fontId="4" fillId="0" borderId="0" xfId="0" applyNumberFormat="1" applyFont="1" applyFill="1" applyBorder="1" applyAlignment="1">
      <x:alignment horizontal="right" wrapText="1"/>
    </x:xf>
    <x:xf numFmtId="200" fontId="1" fillId="0" borderId="0" xfId="0" applyNumberFormat="1" applyFont="1" applyFill="1" applyBorder="1" applyAlignment="1">
      <x:alignment horizontal="left" wrapText="1"/>
    </x:xf>
    <x:xf numFmtId="0" fontId="21" fillId="0" borderId="0" xfId="0" applyNumberFormat="1" applyFont="1" applyFill="1" applyBorder="1" applyAlignment="1">
      <x:alignment wrapText="1"/>
    </x:xf>
    <x:xf numFmtId="200" fontId="21" fillId="0" borderId="0" xfId="0" applyNumberFormat="1" applyFont="1" applyFill="1" applyBorder="1" applyAlignment="1">
      <x:alignment horizontal="right"/>
    </x:xf>
    <x:xf numFmtId="0" fontId="22" fillId="0" borderId="0" xfId="0" applyNumberFormat="1" applyFont="1" applyFill="1" applyBorder="1"/>
    <x:xf numFmtId="200" fontId="21" fillId="0" borderId="0" xfId="0" applyNumberFormat="1" applyFont="1" applyFill="1" applyBorder="1" applyAlignment="1">
      <x:alignment horizontal="right" wrapText="1"/>
    </x:xf>
    <x:xf numFmtId="0" fontId="22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horizontal="left"/>
    </x:xf>
    <x:xf numFmtId="200" fontId="13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right"/>
    </x:xf>
    <x:xf numFmtId="204" fontId="13" fillId="0" borderId="0" xfId="0" applyNumberFormat="1" applyFont="1" applyFill="1" applyBorder="1" applyAlignment="1">
      <x:alignment horizontal="right"/>
    </x:xf>
    <x:xf numFmtId="200" fontId="13" fillId="0" borderId="0" xfId="0" applyNumberFormat="1" applyFont="1" applyFill="1" applyBorder="1" applyAlignment="1">
      <x:alignment horizontal="left" wrapText="1"/>
    </x:xf>
    <x:xf numFmtId="206" fontId="13" fillId="0" borderId="0" xfId="0" applyNumberFormat="1" applyFont="1" applyFill="1" applyBorder="1" applyAlignment="1">
      <x:alignment horizontal="right"/>
    </x:xf>
    <x:xf numFmtId="207" fontId="13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8" fontId="13" fillId="0" borderId="0" xfId="0" applyNumberFormat="1" applyFont="1" applyFill="1" applyBorder="1" applyAlignment="1">
      <x:alignment horizontal="left" wrapText="1"/>
    </x:xf>
    <x:xf numFmtId="208" fontId="17" fillId="0" borderId="0" xfId="0" applyNumberFormat="1" applyFont="1" applyFill="1" applyBorder="1" applyAlignment="1">
      <x:alignment horizontal="right"/>
    </x:xf>
    <x:xf numFmtId="208" fontId="15" fillId="3" borderId="1" xfId="0" applyNumberFormat="1" applyFont="1" applyFill="1" applyBorder="1" applyAlignment="1">
      <x:alignment horizontal="right"/>
    </x:xf>
    <x:xf numFmtId="208" fontId="1" fillId="0" borderId="0" xfId="0" applyNumberFormat="1" applyFont="1" applyFill="1" applyBorder="1" applyAlignment="1">
      <x:alignment horizontal="right" wrapText="1"/>
    </x:xf>
    <x:xf numFmtId="208" fontId="13" fillId="0" borderId="0" xfId="0" applyNumberFormat="1" applyFont="1" applyFill="1" applyBorder="1" applyAlignment="1">
      <x:alignment horizontal="right"/>
    </x:xf>
    <x:xf numFmtId="208" fontId="1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 applyAlignment="1">
      <x:alignment wrapText="1"/>
    </x:xf>
    <x:xf numFmtId="208" fontId="13" fillId="4" borderId="0" xfId="0" applyNumberFormat="1" applyFont="1" applyFill="1" applyBorder="1" applyAlignment="1">
      <x:alignment horizontal="left" wrapText="1"/>
    </x:xf>
    <x:xf numFmtId="200" fontId="1" fillId="4" borderId="0" xfId="0" applyNumberFormat="1" applyFont="1" applyFill="1" applyBorder="1" applyAlignment="1">
      <x:alignment horizontal="left" wrapText="1"/>
    </x:xf>
    <x:xf numFmtId="0" fontId="15" fillId="4" borderId="0" xfId="0" applyNumberFormat="1" applyFont="1" applyFill="1" applyBorder="1" applyAlignment="1">
      <x:alignment wrapText="1"/>
    </x:xf>
    <x:xf numFmtId="208" fontId="15" fillId="4" borderId="0" xfId="0" applyNumberFormat="1" applyFont="1" applyFill="1" applyBorder="1" applyAlignment="1">
      <x:alignment horizontal="left" wrapText="1"/>
    </x:xf>
    <x:xf numFmtId="208" fontId="15" fillId="0" borderId="0" xfId="0" applyNumberFormat="1" applyFont="1" applyFill="1" applyBorder="1" applyAlignment="1">
      <x:alignment horizontal="left" wrapText="1"/>
    </x:xf>
    <x:xf numFmtId="208" fontId="15" fillId="4" borderId="0" xfId="0" applyNumberFormat="1" applyFont="1" applyFill="1" applyBorder="1" applyAlignment="1">
      <x:alignment horizontal="left" vertical="center" wrapText="1"/>
    </x:xf>
    <x:xf numFmtId="209" fontId="13" fillId="0" borderId="0" xfId="0" applyNumberFormat="1" applyFont="1" applyFill="1" applyBorder="1" applyAlignment="1">
      <x:alignment horizontal="right"/>
    </x:xf>
    <x:xf numFmtId="209" fontId="12" fillId="0" borderId="0" xfId="0" applyNumberFormat="1" applyFont="1" applyFill="1" applyBorder="1" applyAlignment="1">
      <x:alignment horizontal="right"/>
    </x:xf>
    <x:xf numFmtId="0" fontId="1" fillId="5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horizontal="right"/>
    </x:xf>
    <x:xf numFmtId="0" fontId="15" fillId="5" borderId="0" xfId="0" applyNumberFormat="1" applyFont="1" applyFill="1" applyBorder="1" applyAlignment="1">
      <x:alignment wrapText="1"/>
    </x:xf>
    <x:xf numFmtId="200" fontId="15" fillId="5" borderId="0" xfId="0" applyNumberFormat="1" applyFont="1" applyFill="1" applyBorder="1" applyAlignment="1">
      <x:alignment horizontal="right"/>
    </x:xf>
    <x:xf numFmtId="0" fontId="15" fillId="5" borderId="2" xfId="0" applyNumberFormat="1" applyFont="1" applyFill="1" applyBorder="1" applyAlignment="1">
      <x:alignment wrapText="1"/>
    </x:xf>
    <x:xf numFmtId="200" fontId="15" fillId="5" borderId="2" xfId="0" applyNumberFormat="1" applyFont="1" applyFill="1" applyBorder="1" applyAlignment="1">
      <x:alignment horizontal="right"/>
    </x:xf>
    <x:xf numFmtId="0" fontId="15" fillId="5" borderId="2" xfId="0" applyNumberFormat="1" applyFont="1" applyFill="1" applyBorder="1" applyAlignment="1">
      <x:alignment vertical="center" wrapText="1"/>
    </x:xf>
    <x:xf numFmtId="200" fontId="15" fillId="5" borderId="2" xfId="0" applyNumberFormat="1" applyFont="1" applyFill="1" applyBorder="1" applyAlignment="1">
      <x:alignment horizontal="right" vertical="center"/>
    </x:xf>
    <x:xf numFmtId="0" fontId="15" fillId="5" borderId="2" xfId="0" applyNumberFormat="1" applyFont="1" applyFill="1" applyBorder="1" applyAlignment="1">
      <x:alignment horizontal="left" vertical="center" wrapText="1"/>
    </x:xf>
    <x:xf numFmtId="202" fontId="16" fillId="0" borderId="0" xfId="0" applyNumberFormat="1" applyFont="1" applyFill="1" applyBorder="1" applyAlignment="1">
      <x:alignment horizontal="right"/>
    </x:xf>
    <x:xf numFmtId="201" fontId="16" fillId="0" borderId="0" xfId="0" applyNumberFormat="1" applyFont="1" applyFill="1" applyBorder="1" applyAlignment="1">
      <x:alignment horizontal="right"/>
    </x:xf>
    <x:xf numFmtId="200" fontId="16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B00020"/>
      </x:font>
      <x:fill>
        <x:patternFill>
          <x:bgColor rgb="FFFADA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8f081dd834971" /><Relationship Type="http://schemas.openxmlformats.org/officeDocument/2006/relationships/theme" Target="/xl/theme/theme1.xml" Id="R8a3737f684874222" /><Relationship Type="http://schemas.openxmlformats.org/officeDocument/2006/relationships/sharedStrings" Target="/xl/sharedStrings.xml" Id="Rdd99bdbbab054939" /><Relationship Type="http://schemas.openxmlformats.org/officeDocument/2006/relationships/worksheet" Target="/xl/worksheets/sheet1.xml" Id="R8f5cbb58fd8d4f37" /><Relationship Type="http://schemas.openxmlformats.org/officeDocument/2006/relationships/worksheet" Target="/xl/worksheets/sheet2.xml" Id="R453d2de467834887" /><Relationship Type="http://schemas.openxmlformats.org/officeDocument/2006/relationships/worksheet" Target="/xl/worksheets/sheet3.xml" Id="R1cbffa5d3a114f1d" /><Relationship Type="http://schemas.openxmlformats.org/officeDocument/2006/relationships/worksheet" Target="/xl/worksheets/sheet4.xml" Id="R8c5a21062f264339" /><Relationship Type="http://schemas.openxmlformats.org/officeDocument/2006/relationships/worksheet" Target="/xl/worksheets/sheet5.xml" Id="Rcafba9c4ddbb48f9" /><Relationship Type="http://schemas.openxmlformats.org/officeDocument/2006/relationships/worksheet" Target="/xl/worksheets/sheet6.xml" Id="R1fa53a2b86ba4bc6" /><Relationship Type="http://schemas.openxmlformats.org/officeDocument/2006/relationships/worksheet" Target="/xl/worksheets/sheet7.xml" Id="R0d33ac88dfa94e6b" /><Relationship Type="http://schemas.openxmlformats.org/officeDocument/2006/relationships/worksheet" Target="/xl/worksheets/sheet8.xml" Id="Rd64b485291f34673" /><Relationship Type="http://schemas.openxmlformats.org/officeDocument/2006/relationships/worksheet" Target="/xl/worksheets/sheet9.xml" Id="Re90c6f4255044dfc" /><Relationship Type="http://schemas.openxmlformats.org/officeDocument/2006/relationships/worksheet" Target="/xl/worksheets/sheet10.xml" Id="R7f81b8b29f614057" /><Relationship Type="http://schemas.openxmlformats.org/officeDocument/2006/relationships/worksheet" Target="/xl/worksheets/sheet11.xml" Id="R4a6e9512c089458f" /><Relationship Type="http://schemas.openxmlformats.org/officeDocument/2006/relationships/worksheet" Target="/xl/worksheets/sheet12.xml" Id="R0541db3ba3a74ef5" /><Relationship Type="http://schemas.openxmlformats.org/officeDocument/2006/relationships/worksheet" Target="/xl/worksheets/sheet13.xml" Id="Ra28f72fbceb24ba0" /><Relationship Type="http://schemas.openxmlformats.org/officeDocument/2006/relationships/worksheet" Target="/xl/worksheets/sheet14.xml" Id="R3a466a3c414244b4" /><Relationship Type="http://schemas.openxmlformats.org/officeDocument/2006/relationships/worksheet" Target="/xl/worksheets/sheet15.xml" Id="Ra2b07300b02a477e" /><Relationship Type="http://schemas.openxmlformats.org/officeDocument/2006/relationships/worksheet" Target="/xl/worksheets/sheet16.xml" Id="R9874ef8c34314640" /><Relationship Type="http://schemas.openxmlformats.org/officeDocument/2006/relationships/worksheet" Target="/xl/worksheets/sheet17.xml" Id="R31ca1c5a35af4e20" /><Relationship Type="http://schemas.openxmlformats.org/officeDocument/2006/relationships/worksheet" Target="/xl/worksheets/sheet18.xml" Id="R1ba4eb14ac614dd6" /><Relationship Type="http://schemas.openxmlformats.org/officeDocument/2006/relationships/worksheet" Target="/xl/worksheets/sheet19.xml" Id="R96afc3b34c0e4a82" /><Relationship Type="http://schemas.openxmlformats.org/officeDocument/2006/relationships/worksheet" Target="/xl/worksheets/sheet20.xml" Id="Rdb8b50a2a2634ccb" /><Relationship Type="http://schemas.openxmlformats.org/officeDocument/2006/relationships/worksheet" Target="/xl/worksheets/sheet21.xml" Id="Rbaff7e03d2a94634" /><Relationship Type="http://schemas.microsoft.com/office/2017/10/relationships/person" Target="/xl/persons/person.xml" Id="Rb487b00562644e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fba0e2383e4b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Valuation / share | range and point markers</a:t>
            </a:r>
          </a:p>
        </c:rich>
      </c:tx>
    </c:title>
    <c:plotArea>
      <c:barChart>
        <c:barDir val="bar"/>
        <c:grouping val="stacked"/>
        <c:varyColors val="0"/>
        <c:ser>
          <c:idx val="0"/>
          <c:order val="0"/>
          <c:tx>
            <c:v>Low</c:v>
          </c:tx>
          <c:spPr>
            <a:noFill xmlns:a="http://schemas.openxmlformats.org/drawingml/2006/main"/>
          </c:spPr>
          <c:cat>
            <c:strRef>
              <c:f>'15_Output'!$A$39:$A$44</c:f>
              <c:strCache>
                <c:ptCount val="0"/>
              </c:strCache>
            </c:strRef>
          </c:cat>
          <c:val>
            <c:numRef>
              <c:f>'15_Output'!$B$39:$B$44</c:f>
              <c:numCache>
                <c:formatCode>$0</c:formatCode>
                <c:ptCount val="0"/>
              </c:numCache>
            </c:numRef>
          </c:val>
        </c:ser>
        <c:ser>
          <c:idx val="1"/>
          <c:order val="1"/>
          <c:tx>
            <c:v>Range / point</c:v>
          </c:tx>
          <c:spPr>
            <a:solidFill xmlns:a="http://schemas.openxmlformats.org/drawingml/2006/main">
              <a:srgbClr val="146B71"/>
            </a:solidFill>
          </c:spPr>
          <c:cat>
            <c:strRef>
              <c:f>'15_Output'!$A$39:$A$44</c:f>
              <c:strCache>
                <c:ptCount val="0"/>
              </c:strCache>
            </c:strRef>
          </c:cat>
          <c:val>
            <c:numRef>
              <c:f>'15_Output'!$D$39:$D$44</c:f>
              <c:numCache>
                <c:formatCode>$0</c:formatCode>
                <c:ptCount val="0"/>
              </c:numCache>
            </c:numRef>
          </c:val>
        </c:ser>
        <c:gapWidth val="8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  <c:majorUnit val="20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49</xdr:row>
      <xdr:rowOff>0</xdr:rowOff>
    </xdr:from>
    <xdr:to>
      <xdr:col>7</xdr:col>
      <xdr:colOff>0</xdr:colOff>
      <xdr:row>68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ba0e2383e4b2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Richard" id="{D6D16F69-3AF2-455A-9F71-7D937E2A36B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9-06T10:06:39.393" personId="{D6D16F69-3AF2-455A-9F71-7D937E2A36BF}" id="{7493C604-F4E7-4126-8D5B-9CC2A817CABB}">
    <xltc:text>GTLB_P: GTLB historical closing price; 4 September 2026. Published 2026-09-04. https://ir.gitlab.com/stock-info/default.aspx</xltc:text>
  </xltc:threadedComment>
  <xltc:threadedComment ref="B6" dT="2026-09-06T10:06:39.394" personId="{D6D16F69-3AF2-455A-9F71-7D937E2A36BF}" id="{02A6B7D1-9A8B-4F3D-AA13-20553EDB319A}">
    <xltc:text>CRM_P: CRM historical closing price; 4 September 2026. Published 2026-09-04. https://investor.salesforce.com/stock-info/default.aspx</xltc:text>
  </xltc:threadedComment>
  <xltc:threadedComment ref="B7" dT="2026-09-06T10:06:39.394" personId="{D6D16F69-3AF2-455A-9F71-7D937E2A36BF}" id="{5E1E93BD-ABF8-44E5-A1B8-AB1CF37EF5F7}">
    <xltc:text>Assumption: illustrative negotiating premium, not an observed bid.</xltc:text>
  </xltc:threadedComment>
  <xltc:threadedComment ref="B8" dT="2026-09-06T10:06:39.395" personId="{D6D16F69-3AF2-455A-9F71-7D937E2A36BF}" id="{70E0260F-6699-4006-8DA5-F22BAF60380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9" dT="2026-09-06T10:06:39.395" personId="{D6D16F69-3AF2-455A-9F71-7D937E2A36BF}" id="{EBCFF5F3-62E8-4159-9A76-2672C87C71C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0" dT="2026-09-06T10:06:39.395" personId="{D6D16F69-3AF2-455A-9F71-7D937E2A36BF}" id="{A3AFF6FE-FDCC-415E-BDE2-95E395FC1C61}">
    <xltc:text>Assumption: 5m fully vested-equivalent shares paid as pre-combination consideration. Simplified; not reported awards.</xltc:text>
  </xltc:threadedComment>
  <xltc:threadedComment ref="B11" dT="2026-09-06T10:06:39.396" personId="{D6D16F69-3AF2-455A-9F71-7D937E2A36BF}" id="{61075AC3-4B2F-4CEA-B74D-7BAD5EF72791}">
    <xltc:text>Assumption: base structure preserves liquidity. Fees paid with cash separately.</xltc:text>
  </xltc:threadedComment>
  <xltc:threadedComment ref="B12" dT="2026-09-06T10:06:39.396" personId="{D6D16F69-3AF2-455A-9F71-7D937E2A36BF}" id="{D14E9840-E9B0-4046-91EC-0F5182DCDC36}">
    <xltc:text>Assumption: 5-year bullet financing; no cash sweep.</xltc:text>
  </xltc:threadedComment>
  <xltc:threadedComment ref="B13" dT="2026-09-06T10:06:39.396" personId="{D6D16F69-3AF2-455A-9F71-7D937E2A36BF}" id="{80DB8FB2-DF93-4E87-8568-5F22B69A0999}">
    <xltc:text>Assumption: no stock-price collar; fixed reference price at close.</xltc:text>
  </xltc:threadedComment>
  <xltc:threadedComment ref="B14" dT="2026-09-06T10:06:39.397" personId="{D6D16F69-3AF2-455A-9F71-7D937E2A36BF}" id="{70B80453-03F9-4336-8057-C0108C17F4A3}">
    <xltc:text>Assumption: 6.5%; not a bank financing quote.</xltc:text>
  </xltc:threadedComment>
  <xltc:threadedComment ref="B15" dT="2026-09-06T10:06:39.397" personId="{D6D16F69-3AF2-455A-9F71-7D937E2A36BF}" id="{AEA33C38-D828-440C-9702-95489BA80C0D}">
    <xltc:text>Assumption: 4%; only acquirer cash actually used loses interest income.</xltc:text>
  </xltc:threadedComment>
  <xltc:threadedComment ref="B16" dT="2026-09-06T10:06:39.397" personId="{D6D16F69-3AF2-455A-9F71-7D937E2A36BF}" id="{D2F51F76-C737-4FFF-B105-151D57F03026}">
    <xltc:text>Assumption: normalized US rate; full tax benefit on recurring deal adjustments. Test tax shield separately.</xltc:text>
  </xltc:threadedComment>
  <xltc:threadedComment ref="B17" dT="2026-09-06T10:06:39.397" personId="{D6D16F69-3AF2-455A-9F71-7D937E2A36BF}" id="{32C228E3-B27A-4E9E-AB6A-33652A2B3EBD}">
    <xltc:text>Assumption: cash paid at closing; expensed, no tax deduction assumed.</xltc:text>
  </xltc:threadedComment>
  <xltc:threadedComment ref="B18" dT="2026-09-06T10:06:39.397" personId="{D6D16F69-3AF2-455A-9F71-7D937E2A36BF}" id="{EBC865BD-B892-4DDE-BA2A-3770BA9A57A3}">
    <xltc:text>Assumption: cash paid at close, netted from debt carrying value; straight-line amortization.</xltc:text>
  </xltc:threadedComment>
  <xltc:threadedComment ref="B19" dT="2026-09-06T10:06:39.398" personId="{D6D16F69-3AF2-455A-9F71-7D937E2A36BF}" id="{2F9BE7F7-A520-4F46-BE0F-C68AABEB11EB}">
    <xltc:text>Assumption: five-year bullet, unchanged principal during forecast.</xltc:text>
  </xltc:threadedComment>
  <xltc:threadedComment ref="B20" dT="2026-09-06T10:06:39.398" personId="{D6D16F69-3AF2-455A-9F71-7D937E2A36BF}" id="{F3B268DE-C493-476A-9ADE-F13E5BF8BFDB}">
    <xltc:text>Assumption: minimum cash plus liquid securities.</xltc:text>
  </xltc:threadedComment>
  <xltc:threadedComment ref="B21" dT="2026-09-06T10:06:39.398" personId="{D6D16F69-3AF2-455A-9F71-7D937E2A36BF}" id="{E3D233EE-DEF1-460F-83F4-CC6C8B4F8224}">
    <xltc:text>Assumption: liquidity reserve, not verified consideration for pending transactions. No double counting of spent ASR proceeds.</xltc:text>
  </xltc:threadedComment>
  <xltc:threadedComment ref="B22" dT="2026-09-06T10:06:39.399" personId="{D6D16F69-3AF2-455A-9F71-7D937E2A36BF}" id="{B5D8E641-C17E-4534-8DE0-F453F359CC3D}">
    <xltc:text>Assumption: incremental asset write-up, not total intangible fair value. Existing amortization remains in standalone EBIT.</xltc:text>
  </xltc:threadedComment>
  <xltc:threadedComment ref="B23" dT="2026-09-06T10:06:39.399" personId="{D6D16F69-3AF2-455A-9F71-7D937E2A36BF}" id="{043738CA-4A44-462A-917E-7BD51FDBF7C7}">
    <xltc:text>Assumption: allocation of incremental intangibles.</xltc:text>
  </xltc:threadedComment>
  <xltc:threadedComment ref="B24" dT="2026-09-06T10:06:39.399" personId="{D6D16F69-3AF2-455A-9F71-7D937E2A36BF}" id="{F5B59BF9-E795-442A-B420-FCCCD48548C3}">
    <xltc:text>Assumption: allocation of incremental intangibles.</xltc:text>
  </xltc:threadedComment>
  <xltc:threadedComment ref="B25" dT="2026-09-06T10:06:39.399" personId="{D6D16F69-3AF2-455A-9F71-7D937E2A36BF}" id="{F47A32B9-2844-4E70-85B9-0F6AE62A05EA}">
    <xltc:text>Assumption: allocation of incremental intangibles.</xltc:text>
  </xltc:threadedComment>
  <xltc:threadedComment ref="B26" dT="2026-09-06T10:06:39.4" personId="{D6D16F69-3AF2-455A-9F71-7D937E2A36BF}" id="{D357A99A-F4AF-4655-B227-EECF50A2119B}">
    <xltc:text>Assumption: straight-line years; no tax-basis step-up.</xltc:text>
  </xltc:threadedComment>
  <xltc:threadedComment ref="B27" dT="2026-09-06T10:06:39.4" personId="{D6D16F69-3AF2-455A-9F71-7D937E2A36BF}" id="{B5790624-EBEE-4EF1-A384-2389D416725B}">
    <xltc:text>Assumption: straight-line years; no tax-basis step-up.</xltc:text>
  </xltc:threadedComment>
  <xltc:threadedComment ref="B28" dT="2026-09-06T10:06:39.4" personId="{D6D16F69-3AF2-455A-9F71-7D937E2A36BF}" id="{3BEB9244-B11F-4B27-B69B-CD171E22B291}">
    <xltc:text>Assumption: straight-line years; no tax-basis step-up.</xltc:text>
  </xltc:threadedComment>
  <xltc:threadedComment ref="B29" dT="2026-09-06T10:06:39.4" personId="{D6D16F69-3AF2-455A-9F71-7D937E2A36BF}" id="{EC625FF2-4975-4A1B-9C20-D90B32A34496}">
    <xltc:text>Assumption: multiplies bottom-up run-rate savings; 1.0x base.</xltc:text>
  </xltc:threadedComment>
  <xltc:threadedComment ref="B30" dT="2026-09-06T10:06:39.4" personId="{D6D16F69-3AF2-455A-9F71-7D937E2A36BF}" id="{77192953-6A61-4D4F-80EE-3F93FF1F261E}">
    <xltc:text>Assumption: public-company and corporate functions; includes vendor/facilities, no duplicate buckets.</xltc:text>
  </xltc:threadedComment>
  <xltc:threadedComment ref="B31" dT="2026-09-06T10:06:39.401" personId="{D6D16F69-3AF2-455A-9F71-7D937E2A36BF}" id="{31FAF7DC-B668-4924-8CEE-8B9CD2C1ED7A}">
    <xltc:text>Assumption: selling overlap; retain independent developer sales motion.</xltc:text>
  </xltc:threadedComment>
  <xltc:threadedComment ref="B32" dT="2026-09-06T10:06:39.401" personId="{D6D16F69-3AF2-455A-9F71-7D937E2A36BF}" id="{EAE51822-F773-442E-8FBD-8988A08C861A}">
    <xltc:text>Assumption: infrastructure/vendor efficiencies; excludes R&amp;D cuts.</xltc:text>
  </xltc:threadedComment>
  <xltc:threadedComment ref="B33" dT="2026-09-06T10:06:39.401" personId="{D6D16F69-3AF2-455A-9F71-7D937E2A36BF}" id="{C296CF40-47E6-48EB-A9B9-A31FBC89BFB4}">
    <xltc:text>Assumption: FY2028, first full year after closing.</xltc:text>
  </xltc:threadedComment>
  <xltc:threadedComment ref="B34" dT="2026-09-06T10:06:39.401" personId="{D6D16F69-3AF2-455A-9F71-7D937E2A36BF}" id="{32FB3E0D-FFC1-45AF-BA5C-6E8996CA1371}">
    <xltc:text>Assumption: FY2029.</xltc:text>
  </xltc:threadedComment>
  <xltc:threadedComment ref="B35" dT="2026-09-06T10:06:39.401" personId="{D6D16F69-3AF2-455A-9F71-7D937E2A36BF}" id="{F2A1EDCE-9D69-4747-8D0A-2EE3F974D59D}">
    <xltc:text>Assumption: FY2030.</xltc:text>
  </xltc:threadedComment>
  <xltc:threadedComment ref="B36" dT="2026-09-06T10:06:39.402" personId="{D6D16F69-3AF2-455A-9F71-7D937E2A36BF}" id="{91270B4F-36DA-4743-AF49-3BC5981D4DF6}">
    <xltc:text>Assumption: 1.0x run rate, paid 60% / 40% in years 1 / 2.</xltc:text>
  </xltc:threadedComment>
  <xltc:threadedComment ref="B37" dT="2026-09-06T10:06:39.402" personId="{D6D16F69-3AF2-455A-9F71-7D937E2A36BF}" id="{25A4A1FD-A2CF-4EC9-9F40-45F587C95B42}">
    <xltc:text>Assumption: remainder paid in year 2.</xltc:text>
  </xltc:threadedComment>
  <xltc:threadedComment ref="B38" dT="2026-09-06T10:06:39.402" personId="{D6D16F69-3AF2-455A-9F71-7D937E2A36BF}" id="{E848EFA5-1907-40DB-A085-37F6BA4B5D5C}">
    <xltc:text>Assumption: zero in base; no management guidance.</xltc:text>
  </xltc:threadedComment>
  <xltc:threadedComment ref="B39" dT="2026-09-06T10:06:39.402" personId="{D6D16F69-3AF2-455A-9F71-7D937E2A36BF}" id="{5AC3477F-9F00-4138-B460-10CA2DDE0D36}">
    <xltc:text>Assumption: incremental contribution after all delivery/selling costs.</xltc:text>
  </xltc:threadedComment>
  <xltc:threadedComment ref="B40" dT="2026-09-06T10:06:39.402" personId="{D6D16F69-3AF2-455A-9F71-7D937E2A36BF}" id="{FBA6F57A-8BE8-406D-9DA2-9AADC33D1779}">
    <xltc:text>Assumption: 11.5% hurdle; sensitivity 9.5%-13.5%; not market-estimated CAPM.</xltc:text>
  </xltc:threadedComment>
  <xltc:threadedComment ref="B41" dT="2026-09-06T10:06:39.403" personId="{D6D16F69-3AF2-455A-9F71-7D937E2A36BF}" id="{45A2DD72-ECFD-42BA-B4E5-EACBB256EC6E}">
    <xltc:text>Assumption: 2.5%; below WACC.</xltc:text>
  </xltc:threadedComment>
  <xltc:threadedComment ref="B42" dT="2026-09-06T10:06:39.403" personId="{D6D16F69-3AF2-455A-9F71-7D937E2A36BF}" id="{60EF2655-9190-44AE-9E80-4C4CD2DCBF88}">
    <xltc:text>Assumption: 20x normalized GAAP EBIT, explicitly not EV/adjusted EBITDA.</xltc:text>
  </xltc:threadedComment>
  <xltc:threadedComment ref="B43" dT="2026-09-06T10:06:39.403" personId="{D6D16F69-3AF2-455A-9F71-7D937E2A36BF}" id="{FD1AD4C3-A1B9-4C7A-BBB7-CFD449B6F38E}">
    <xltc:text>Assumption: conservatively reserve all JiHu assets disclosed in GTLB_Q27; actual restricted cash not separately verified.</xltc:text>
  </xltc:threadedComment>
  <xltc:threadedComment ref="B44" dT="2026-09-06T10:06:39.403" personId="{D6D16F69-3AF2-455A-9F71-7D937E2A36BF}" id="{89239589-B7AB-4927-910D-3D1E2C1B6E0D}">
    <xltc:text>Convention: actual / 365.</xltc:text>
  </xltc:threadedComment>
  <xltc:threadedComment ref="B45" dT="2026-09-06T10:06:39.403" personId="{D6D16F69-3AF2-455A-9F71-7D937E2A36BF}" id="{85552B8D-842D-4F29-A15D-EDA6B8878BAB}">
    <xltc:text>Convention: six-month share-count weighting.</xltc:text>
  </xltc:threadedComment>
  <xltc:threadedComment ref="B46" dT="2026-09-06T10:06:39.403" personId="{D6D16F69-3AF2-455A-9F71-7D937E2A36BF}" id="{8C38F5D4-1C60-4072-8AA8-FEB22B1FE124}">
    <xltc:text>Convention: annualized quarterly revenue is not LTM.</xltc:text>
  </xltc:threadedComment>
  <xltc:threadedComment ref="B47" dT="2026-09-06T10:06:39.404" personId="{D6D16F69-3AF2-455A-9F71-7D937E2A36BF}" id="{69580AF6-2F61-46E6-85CA-F53B06BE0AD1}">
    <xltc:text>Assumption: 1 February 2027.</xltc:text>
  </xltc:threadedComment>
  <xltc:threadedComment ref="B48" dT="2026-09-06T10:06:39.404" personId="{D6D16F69-3AF2-455A-9F71-7D937E2A36BF}" id="{BB493B15-5FF6-4F04-96A7-7278FD7D0097}">
    <xltc:text>Convention: 4 September 2026.</xltc:text>
  </xltc:threadedComment>
  <xltc:threadedComment ref="B49" dT="2026-09-06T10:06:39.404" personId="{D6D16F69-3AF2-455A-9F71-7D937E2A36BF}" id="{1B0C3B25-4EFC-4D22-A7A0-E73CA013ED5F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B50" dT="2026-09-06T10:06:39.405" personId="{D6D16F69-3AF2-455A-9F71-7D937E2A36BF}" id="{3329D3F9-1983-4EAB-8A49-098B2BD1BC35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1" dT="2026-09-06T10:06:39.405" personId="{D6D16F69-3AF2-455A-9F71-7D937E2A36BF}" id="{D9E28809-F61C-48EE-81BF-E02E19AF78C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2" dT="2026-09-06T10:06:39.405" personId="{D6D16F69-3AF2-455A-9F71-7D937E2A36BF}" id="{62FE9719-D7C7-415B-93F2-80F4F7D4426B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B53" dT="2026-09-06T10:06:39.405" personId="{D6D16F69-3AF2-455A-9F71-7D937E2A36BF}" id="{FED3F852-58A4-43E5-BD0C-B86308E8CF41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4" dT="2026-09-06T10:06:39.405" personId="{D6D16F69-3AF2-455A-9F71-7D937E2A36BF}" id="{23539F39-36FE-4083-B01D-3AEBDD9257BD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5" dT="2026-09-06T10:06:39.405" personId="{D6D16F69-3AF2-455A-9F71-7D937E2A36BF}" id="{5B81EC8B-C340-4AE7-8F50-291CB11C94EB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B56" dT="2026-09-06T10:06:39.406" personId="{D6D16F69-3AF2-455A-9F71-7D937E2A36BF}" id="{2212F256-9D7E-4FCC-9B81-9FB213425EE0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7" dT="2026-09-06T10:06:39.406" personId="{D6D16F69-3AF2-455A-9F71-7D937E2A36BF}" id="{D3AC32DE-F7CA-440A-A3EE-9FA6E6A6BA1C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58" dT="2026-09-06T10:06:39.406" personId="{D6D16F69-3AF2-455A-9F71-7D937E2A36BF}" id="{5DB88321-4810-44AA-9B36-88A2CA795D76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59" dT="2026-09-06T10:06:39.406" personId="{D6D16F69-3AF2-455A-9F71-7D937E2A36BF}" id="{C439EA15-0CCC-425A-B493-BF20A1F7A161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60" dT="2026-09-06T10:06:39.406" personId="{D6D16F69-3AF2-455A-9F71-7D937E2A36BF}" id="{215DA399-E24F-46C7-8345-C19BD819766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61" dT="2026-09-06T10:06:39.407" personId="{D6D16F69-3AF2-455A-9F71-7D937E2A36BF}" id="{88458CDC-769F-49C7-97EB-1A2B9BE0A77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62" dT="2026-09-06T10:06:39.407" personId="{D6D16F69-3AF2-455A-9F71-7D937E2A36BF}" id="{573C1214-7B1C-4429-AB55-A39E8C684416}">
    <xltc:text>Derived from GTLB_F26 balance sheet: 304.301 + 48.899 + 42.676 + 23.705 - 9.205 - 58.185 - 39.657 - 545.096 - 26.994.</xltc:text>
  </xltc:threadedComment>
  <xltc:threadedComment ref="B63" dT="2026-09-06T10:06:39.407" personId="{D6D16F69-3AF2-455A-9F71-7D937E2A36BF}" id="{01D22B3C-6B51-4282-9C4B-6BB986C25AD0}">
    <xltc:text>Assumption: 100% of new financing costs deductible; no legal/tax opinion.</xltc:text>
  </xltc:threadedComment>
  <xltc:threadedComment ref="B64" dT="2026-09-06T10:06:39.407" personId="{D6D16F69-3AF2-455A-9F71-7D937E2A36BF}" id="{08030DB4-3975-4A0C-BA8A-E60F3FD059CF}">
    <xltc:text>Convention: rounding tolerance in USD millions.</xltc:text>
  </xltc:threadedComment>
  <xltc:threadedComment ref="B47" dT="2026-09-06T10:06:39.408" personId="{D6D16F69-3AF2-455A-9F71-7D937E2A36BF}" id="{16637D41-F5D5-4034-9E25-BB448B77550C}">
    <xltc:text>Assumption: illustrative closing date.</xltc:text>
  </xltc:threadedComment>
  <xltc:threadedComment ref="B48" dT="2026-09-06T10:06:39.408" personId="{D6D16F69-3AF2-455A-9F71-7D937E2A36BF}" id="{4820B7A6-B450-457A-9696-977EB509652B}">
    <xltc:text>Valuation date.</xltc:text>
  </xltc:threadedComment>
  <xltc:threadedComment ref="C72" dT="2026-09-06T10:06:39.408" personId="{D6D16F69-3AF2-455A-9F71-7D937E2A36BF}" id="{A1CC5FB4-7CEE-4E39-AE90-E978B423661F}">
    <xltc:text>Assumption: crmGrowth; management guidance anchors FY2027 revenue only; CRM FY2027 GAAP margin 20.1% from CRM_Q27. Future values are analyst scenarios.</xltc:text>
  </xltc:threadedComment>
  <xltc:threadedComment ref="D72" dT="2026-09-06T10:06:39.409" personId="{D6D16F69-3AF2-455A-9F71-7D937E2A36BF}" id="{01A3B68A-168A-4013-89D0-8A5A4A838479}">
    <xltc:text>Assumption: crmGrowth; management guidance anchors FY2027 revenue only; CRM FY2027 GAAP margin 20.1% from CRM_Q27. Future values are analyst scenarios.</xltc:text>
  </xltc:threadedComment>
  <xltc:threadedComment ref="E72" dT="2026-09-06T10:06:39.409" personId="{D6D16F69-3AF2-455A-9F71-7D937E2A36BF}" id="{E798726B-C118-403F-935E-BCA563CF474B}">
    <xltc:text>Assumption: crmGrowth; management guidance anchors FY2027 revenue only; CRM FY2027 GAAP margin 20.1% from CRM_Q27. Future values are analyst scenarios.</xltc:text>
  </xltc:threadedComment>
  <xltc:threadedComment ref="F72" dT="2026-09-06T10:06:39.409" personId="{D6D16F69-3AF2-455A-9F71-7D937E2A36BF}" id="{E1943D07-B2AE-4AF6-A7EE-B722CFADA64A}">
    <xltc:text>Assumption: crmGrowth; management guidance anchors FY2027 revenue only; CRM FY2027 GAAP margin 20.1% from CRM_Q27. Future values are analyst scenarios.</xltc:text>
  </xltc:threadedComment>
  <xltc:threadedComment ref="G72" dT="2026-09-06T10:06:39.409" personId="{D6D16F69-3AF2-455A-9F71-7D937E2A36BF}" id="{CD57A035-7FA9-4E79-962C-146C8F06861D}">
    <xltc:text>Assumption: crmGrowth; management guidance anchors FY2027 revenue only; CRM FY2027 GAAP margin 20.1% from CRM_Q27. Future values are analyst scenarios.</xltc:text>
  </xltc:threadedComment>
  <xltc:threadedComment ref="B73" dT="2026-09-06T10:06:39.409" personId="{D6D16F69-3AF2-455A-9F71-7D937E2A36BF}" id="{70B471EA-D468-4417-9CC3-A5E9B25B9513}">
    <xltc:text>Assumption: crmGross; management guidance anchors FY2027 revenue only; CRM FY2027 GAAP margin 20.1% from CRM_Q27. Future values are analyst scenarios.</xltc:text>
  </xltc:threadedComment>
  <xltc:threadedComment ref="C73" dT="2026-09-06T10:06:39.409" personId="{D6D16F69-3AF2-455A-9F71-7D937E2A36BF}" id="{EE5C1131-4504-4AA8-BED4-5A780EFB4041}">
    <xltc:text>Assumption: crmGross; management guidance anchors FY2027 revenue only; CRM FY2027 GAAP margin 20.1% from CRM_Q27. Future values are analyst scenarios.</xltc:text>
  </xltc:threadedComment>
  <xltc:threadedComment ref="D73" dT="2026-09-06T10:06:39.409" personId="{D6D16F69-3AF2-455A-9F71-7D937E2A36BF}" id="{2AF3E7B8-AE5C-4C84-9F37-5B7E450969D7}">
    <xltc:text>Assumption: crmGross; management guidance anchors FY2027 revenue only; CRM FY2027 GAAP margin 20.1% from CRM_Q27. Future values are analyst scenarios.</xltc:text>
  </xltc:threadedComment>
  <xltc:threadedComment ref="E73" dT="2026-09-06T10:06:39.409" personId="{D6D16F69-3AF2-455A-9F71-7D937E2A36BF}" id="{FEFBD136-E46A-4999-8A30-F69162C09809}">
    <xltc:text>Assumption: crmGross; management guidance anchors FY2027 revenue only; CRM FY2027 GAAP margin 20.1% from CRM_Q27. Future values are analyst scenarios.</xltc:text>
  </xltc:threadedComment>
  <xltc:threadedComment ref="F73" dT="2026-09-06T10:06:39.409" personId="{D6D16F69-3AF2-455A-9F71-7D937E2A36BF}" id="{BF1C8107-5668-4878-9417-0764207A2695}">
    <xltc:text>Assumption: crmGross; management guidance anchors FY2027 revenue only; CRM FY2027 GAAP margin 20.1% from CRM_Q27. Future values are analyst scenarios.</xltc:text>
  </xltc:threadedComment>
  <xltc:threadedComment ref="G73" dT="2026-09-06T10:06:39.409" personId="{D6D16F69-3AF2-455A-9F71-7D937E2A36BF}" id="{3DC890A4-91A4-4BFB-9E18-63427AC8A970}">
    <xltc:text>Assumption: crmGross; management guidance anchors FY2027 revenue only; CRM FY2027 GAAP margin 20.1% from CRM_Q27. Future values are analyst scenarios.</xltc:text>
  </xltc:threadedComment>
  <xltc:threadedComment ref="B74" dT="2026-09-06T10:06:39.409" personId="{D6D16F69-3AF2-455A-9F71-7D937E2A36BF}" id="{79E3923B-A84E-40E9-8835-960D3028F17E}">
    <xltc:text>Assumption: crmGAAP; management guidance anchors FY2027 revenue only; CRM FY2027 GAAP margin 20.1% from CRM_Q27. Future values are analyst scenarios.</xltc:text>
  </xltc:threadedComment>
  <xltc:threadedComment ref="C74" dT="2026-09-06T10:06:39.409" personId="{D6D16F69-3AF2-455A-9F71-7D937E2A36BF}" id="{91FEA515-69FB-4580-B84F-96FCD8CA50F0}">
    <xltc:text>Assumption: crmGAAP; management guidance anchors FY2027 revenue only; CRM FY2027 GAAP margin 20.1% from CRM_Q27. Future values are analyst scenarios.</xltc:text>
  </xltc:threadedComment>
  <xltc:threadedComment ref="D74" dT="2026-09-06T10:06:39.409" personId="{D6D16F69-3AF2-455A-9F71-7D937E2A36BF}" id="{3695CC5C-423A-4036-82BC-8D5B845C5B6D}">
    <xltc:text>Assumption: crmGAAP; management guidance anchors FY2027 revenue only; CRM FY2027 GAAP margin 20.1% from CRM_Q27. Future values are analyst scenarios.</xltc:text>
  </xltc:threadedComment>
  <xltc:threadedComment ref="E74" dT="2026-09-06T10:06:39.41" personId="{D6D16F69-3AF2-455A-9F71-7D937E2A36BF}" id="{B07BD07C-DA24-428D-B9E3-E779D2DE663C}">
    <xltc:text>Assumption: crmGAAP; management guidance anchors FY2027 revenue only; CRM FY2027 GAAP margin 20.1% from CRM_Q27. Future values are analyst scenarios.</xltc:text>
  </xltc:threadedComment>
  <xltc:threadedComment ref="F74" dT="2026-09-06T10:06:39.41" personId="{D6D16F69-3AF2-455A-9F71-7D937E2A36BF}" id="{5DAE96B6-21C4-460F-9012-F93B2D35E5C7}">
    <xltc:text>Assumption: crmGAAP; management guidance anchors FY2027 revenue only; CRM FY2027 GAAP margin 20.1% from CRM_Q27. Future values are analyst scenarios.</xltc:text>
  </xltc:threadedComment>
  <xltc:threadedComment ref="G74" dT="2026-09-06T10:06:39.41" personId="{D6D16F69-3AF2-455A-9F71-7D937E2A36BF}" id="{2C3236DF-E776-43A0-8DC1-E4F8DF1BE31C}">
    <xltc:text>Assumption: crmGAAP; management guidance anchors FY2027 revenue only; CRM FY2027 GAAP margin 20.1% from CRM_Q27. Future values are analyst scenarios.</xltc:text>
  </xltc:threadedComment>
  <xltc:threadedComment ref="B75" dT="2026-09-06T10:06:39.41" personId="{D6D16F69-3AF2-455A-9F71-7D937E2A36BF}" id="{B157DBB4-9CF4-4A12-A494-BE23FA3FE9E7}">
    <xltc:text>Assumption: crmSBC; management guidance anchors FY2027 revenue only; CRM FY2027 GAAP margin 20.1% from CRM_Q27. Future values are analyst scenarios.</xltc:text>
  </xltc:threadedComment>
  <xltc:threadedComment ref="C75" dT="2026-09-06T10:06:39.41" personId="{D6D16F69-3AF2-455A-9F71-7D937E2A36BF}" id="{A32A9C90-8A55-4DFF-86C7-78C422EBA3B2}">
    <xltc:text>Assumption: crmSBC; management guidance anchors FY2027 revenue only; CRM FY2027 GAAP margin 20.1% from CRM_Q27. Future values are analyst scenarios.</xltc:text>
  </xltc:threadedComment>
  <xltc:threadedComment ref="D75" dT="2026-09-06T10:06:39.41" personId="{D6D16F69-3AF2-455A-9F71-7D937E2A36BF}" id="{38C0776B-F3E7-46E7-80DC-3BB65F1F2622}">
    <xltc:text>Assumption: crmSBC; management guidance anchors FY2027 revenue only; CRM FY2027 GAAP margin 20.1% from CRM_Q27. Future values are analyst scenarios.</xltc:text>
  </xltc:threadedComment>
  <xltc:threadedComment ref="E75" dT="2026-09-06T10:06:39.41" personId="{D6D16F69-3AF2-455A-9F71-7D937E2A36BF}" id="{AAC48760-7E8E-4B26-A25F-E50AABEDF055}">
    <xltc:text>Assumption: crmSBC; management guidance anchors FY2027 revenue only; CRM FY2027 GAAP margin 20.1% from CRM_Q27. Future values are analyst scenarios.</xltc:text>
  </xltc:threadedComment>
  <xltc:threadedComment ref="F75" dT="2026-09-06T10:06:39.41" personId="{D6D16F69-3AF2-455A-9F71-7D937E2A36BF}" id="{14124C58-1743-4FF0-990B-D2359F5F9267}">
    <xltc:text>Assumption: crmSBC; management guidance anchors FY2027 revenue only; CRM FY2027 GAAP margin 20.1% from CRM_Q27. Future values are analyst scenarios.</xltc:text>
  </xltc:threadedComment>
  <xltc:threadedComment ref="G75" dT="2026-09-06T10:06:39.41" personId="{D6D16F69-3AF2-455A-9F71-7D937E2A36BF}" id="{8BA535D9-8EA1-44C6-8BE6-7B03112C4ADE}">
    <xltc:text>Assumption: crmSBC; management guidance anchors FY2027 revenue only; CRM FY2027 GAAP margin 20.1% from CRM_Q27. Future values are analyst scenarios.</xltc:text>
  </xltc:threadedComment>
  <xltc:threadedComment ref="B76" dT="2026-09-06T10:06:39.41" personId="{D6D16F69-3AF2-455A-9F71-7D937E2A36BF}" id="{2F6BF363-A413-4D57-9351-696F6A335F85}">
    <xltc:text>Assumption: crmOther; management guidance anchors FY2027 revenue only; CRM FY2027 GAAP margin 20.1% from CRM_Q27. Future values are analyst scenarios.</xltc:text>
  </xltc:threadedComment>
  <xltc:threadedComment ref="C76" dT="2026-09-06T10:06:39.41" personId="{D6D16F69-3AF2-455A-9F71-7D937E2A36BF}" id="{D2790207-DF35-41BC-A442-4F1CF6463EDB}">
    <xltc:text>Assumption: crmOther; management guidance anchors FY2027 revenue only; CRM FY2027 GAAP margin 20.1% from CRM_Q27. Future values are analyst scenarios.</xltc:text>
  </xltc:threadedComment>
  <xltc:threadedComment ref="D76" dT="2026-09-06T10:06:39.41" personId="{D6D16F69-3AF2-455A-9F71-7D937E2A36BF}" id="{24672061-335F-4FD4-9400-5DD470F9DFCF}">
    <xltc:text>Assumption: crmOther; management guidance anchors FY2027 revenue only; CRM FY2027 GAAP margin 20.1% from CRM_Q27. Future values are analyst scenarios.</xltc:text>
  </xltc:threadedComment>
  <xltc:threadedComment ref="E76" dT="2026-09-06T10:06:39.41" personId="{D6D16F69-3AF2-455A-9F71-7D937E2A36BF}" id="{E51276D3-6F4D-48A3-8EE1-FC17C2E7BCC5}">
    <xltc:text>Assumption: crmOther; management guidance anchors FY2027 revenue only; CRM FY2027 GAAP margin 20.1% from CRM_Q27. Future values are analyst scenarios.</xltc:text>
  </xltc:threadedComment>
  <xltc:threadedComment ref="F76" dT="2026-09-06T10:06:39.41" personId="{D6D16F69-3AF2-455A-9F71-7D937E2A36BF}" id="{67952AE1-A19C-4189-B905-0D2764FA9A54}">
    <xltc:text>Assumption: crmOther; management guidance anchors FY2027 revenue only; CRM FY2027 GAAP margin 20.1% from CRM_Q27. Future values are analyst scenarios.</xltc:text>
  </xltc:threadedComment>
  <xltc:threadedComment ref="G76" dT="2026-09-06T10:06:39.411" personId="{D6D16F69-3AF2-455A-9F71-7D937E2A36BF}" id="{329695B4-4284-4E6F-BD53-CE2055C2DFA7}">
    <xltc:text>Assumption: crmOther; management guidance anchors FY2027 revenue only; CRM FY2027 GAAP margin 20.1% from CRM_Q27. Future values are analyst scenarios.</xltc:text>
  </xltc:threadedComment>
  <xltc:threadedComment ref="B77" dT="2026-09-06T10:06:39.411" personId="{D6D16F69-3AF2-455A-9F71-7D937E2A36BF}" id="{1D1DB654-F9AE-4307-BA7A-C7D1BAD85C6A}">
    <xltc:text>Assumption: crmShares; management guidance anchors FY2027 revenue only; CRM FY2027 GAAP margin 20.1% from CRM_Q27. Future values are analyst scenarios.</xltc:text>
  </xltc:threadedComment>
  <xltc:threadedComment ref="C77" dT="2026-09-06T10:06:39.411" personId="{D6D16F69-3AF2-455A-9F71-7D937E2A36BF}" id="{E5C41F95-49D2-4DC4-B29F-254BD7A46C8E}">
    <xltc:text>Assumption: crmShares; management guidance anchors FY2027 revenue only; CRM FY2027 GAAP margin 20.1% from CRM_Q27. Future values are analyst scenarios.</xltc:text>
  </xltc:threadedComment>
  <xltc:threadedComment ref="D77" dT="2026-09-06T10:06:39.411" personId="{D6D16F69-3AF2-455A-9F71-7D937E2A36BF}" id="{F4A3329B-40E2-401F-8F73-40E5840AC758}">
    <xltc:text>Assumption: crmShares; management guidance anchors FY2027 revenue only; CRM FY2027 GAAP margin 20.1% from CRM_Q27. Future values are analyst scenarios.</xltc:text>
  </xltc:threadedComment>
  <xltc:threadedComment ref="E77" dT="2026-09-06T10:06:39.411" personId="{D6D16F69-3AF2-455A-9F71-7D937E2A36BF}" id="{334BD39C-9A24-4F4D-9BDA-92ADBE72E918}">
    <xltc:text>Assumption: crmShares; management guidance anchors FY2027 revenue only; CRM FY2027 GAAP margin 20.1% from CRM_Q27. Future values are analyst scenarios.</xltc:text>
  </xltc:threadedComment>
  <xltc:threadedComment ref="F77" dT="2026-09-06T10:06:39.411" personId="{D6D16F69-3AF2-455A-9F71-7D937E2A36BF}" id="{AEBF53D3-A097-490C-932B-D695D03D87FB}">
    <xltc:text>Assumption: crmShares; management guidance anchors FY2027 revenue only; CRM FY2027 GAAP margin 20.1% from CRM_Q27. Future values are analyst scenarios.</xltc:text>
  </xltc:threadedComment>
  <xltc:threadedComment ref="G77" dT="2026-09-06T10:06:39.411" personId="{D6D16F69-3AF2-455A-9F71-7D937E2A36BF}" id="{DBE104C2-8E99-46A6-B57B-CF78BC7D1D83}">
    <xltc:text>Assumption: crmShares; management guidance anchors FY2027 revenue only; CRM FY2027 GAAP margin 20.1% from CRM_Q27. Future values are analyst scenarios.</xltc:text>
  </xltc:threadedComment>
  <xltc:threadedComment ref="B78" dT="2026-09-06T10:06:39.411" personId="{D6D16F69-3AF2-455A-9F71-7D937E2A36BF}" id="{48A27D54-BABF-4791-869C-2B28C5F6D2D8}">
    <xltc:text>Assumption: crmDA; management guidance anchors FY2027 revenue only; CRM FY2027 GAAP margin 20.1% from CRM_Q27. Future values are analyst scenarios.</xltc:text>
  </xltc:threadedComment>
  <xltc:threadedComment ref="C78" dT="2026-09-06T10:06:39.411" personId="{D6D16F69-3AF2-455A-9F71-7D937E2A36BF}" id="{033FB0AB-A80D-4F5C-A51C-692DD8E70A5C}">
    <xltc:text>Assumption: crmDA; management guidance anchors FY2027 revenue only; CRM FY2027 GAAP margin 20.1% from CRM_Q27. Future values are analyst scenarios.</xltc:text>
  </xltc:threadedComment>
  <xltc:threadedComment ref="D78" dT="2026-09-06T10:06:39.411" personId="{D6D16F69-3AF2-455A-9F71-7D937E2A36BF}" id="{314D97D4-AC6A-4851-88FD-CE51D4BED2CC}">
    <xltc:text>Assumption: crmDA; management guidance anchors FY2027 revenue only; CRM FY2027 GAAP margin 20.1% from CRM_Q27. Future values are analyst scenarios.</xltc:text>
  </xltc:threadedComment>
  <xltc:threadedComment ref="E78" dT="2026-09-06T10:06:39.411" personId="{D6D16F69-3AF2-455A-9F71-7D937E2A36BF}" id="{517320BC-5D37-4F2F-877E-7C2BFF835ADF}">
    <xltc:text>Assumption: crmDA; management guidance anchors FY2027 revenue only; CRM FY2027 GAAP margin 20.1% from CRM_Q27. Future values are analyst scenarios.</xltc:text>
  </xltc:threadedComment>
  <xltc:threadedComment ref="F78" dT="2026-09-06T10:06:39.411" personId="{D6D16F69-3AF2-455A-9F71-7D937E2A36BF}" id="{55C1DC9D-8FD6-4080-9F13-DF1D19C4C53A}">
    <xltc:text>Assumption: crmDA; management guidance anchors FY2027 revenue only; CRM FY2027 GAAP margin 20.1% from CRM_Q27. Future values are analyst scenarios.</xltc:text>
  </xltc:threadedComment>
  <xltc:threadedComment ref="G78" dT="2026-09-06T10:06:39.411" personId="{D6D16F69-3AF2-455A-9F71-7D937E2A36BF}" id="{FE3ED048-F01C-4575-9233-D796074EB021}">
    <xltc:text>Assumption: crmDA; management guidance anchors FY2027 revenue only; CRM FY2027 GAAP margin 20.1% from CRM_Q27. Future values are analyst scenarios.</xltc:text>
  </xltc:threadedComment>
  <xltc:threadedComment ref="B79" dT="2026-09-06T10:06:39.411" personId="{D6D16F69-3AF2-455A-9F71-7D937E2A36BF}" id="{8E34A7CE-2492-4077-84E9-55A58978F19D}">
    <xltc:text>Assumption: crmCapex; management guidance anchors FY2027 revenue only; CRM FY2027 GAAP margin 20.1% from CRM_Q27. Future values are analyst scenarios.</xltc:text>
  </xltc:threadedComment>
  <xltc:threadedComment ref="C79" dT="2026-09-06T10:06:39.411" personId="{D6D16F69-3AF2-455A-9F71-7D937E2A36BF}" id="{F02A7819-0A5C-4B6F-B184-59F38373CD28}">
    <xltc:text>Assumption: crmCapex; management guidance anchors FY2027 revenue only; CRM FY2027 GAAP margin 20.1% from CRM_Q27. Future values are analyst scenarios.</xltc:text>
  </xltc:threadedComment>
  <xltc:threadedComment ref="D79" dT="2026-09-06T10:06:39.411" personId="{D6D16F69-3AF2-455A-9F71-7D937E2A36BF}" id="{4087B813-823A-41DE-BBE0-4D43A5D3E616}">
    <xltc:text>Assumption: crmCapex; management guidance anchors FY2027 revenue only; CRM FY2027 GAAP margin 20.1% from CRM_Q27. Future values are analyst scenarios.</xltc:text>
  </xltc:threadedComment>
  <xltc:threadedComment ref="E79" dT="2026-09-06T10:06:39.411" personId="{D6D16F69-3AF2-455A-9F71-7D937E2A36BF}" id="{3C0329DF-83D1-49F7-A9C7-57217BCBD6AB}">
    <xltc:text>Assumption: crmCapex; management guidance anchors FY2027 revenue only; CRM FY2027 GAAP margin 20.1% from CRM_Q27. Future values are analyst scenarios.</xltc:text>
  </xltc:threadedComment>
  <xltc:threadedComment ref="F79" dT="2026-09-06T10:06:39.412" personId="{D6D16F69-3AF2-455A-9F71-7D937E2A36BF}" id="{0AC7DD55-B279-4F87-8820-A4FA36656171}">
    <xltc:text>Assumption: crmCapex; management guidance anchors FY2027 revenue only; CRM FY2027 GAAP margin 20.1% from CRM_Q27. Future values are analyst scenarios.</xltc:text>
  </xltc:threadedComment>
  <xltc:threadedComment ref="G79" dT="2026-09-06T10:06:39.412" personId="{D6D16F69-3AF2-455A-9F71-7D937E2A36BF}" id="{5BEFFEC2-CD7B-4AE4-9D78-3FDC6012A6CC}">
    <xltc:text>Assumption: crmCapex; management guidance anchors FY2027 revenue only; CRM FY2027 GAAP margin 20.1% from CRM_Q27. Future values are analyst scenarios.</xltc:text>
  </xltc:threadedComment>
  <xltc:threadedComment ref="C80" dT="2026-09-06T10:06:39.412" personId="{D6D16F69-3AF2-455A-9F71-7D937E2A36BF}" id="{AA3EDC6B-AE51-419B-BB09-80049872799D}">
    <xltc:text>Assumption: gtlbGrowth; management guidance anchors FY2027 revenue only; CRM FY2027 GAAP margin 20.1% from CRM_Q27. Future values are analyst scenarios.</xltc:text>
  </xltc:threadedComment>
  <xltc:threadedComment ref="D80" dT="2026-09-06T10:06:39.412" personId="{D6D16F69-3AF2-455A-9F71-7D937E2A36BF}" id="{97F9E289-1466-4FA6-9403-D1FC59F33B5B}">
    <xltc:text>Assumption: gtlbGrowth; management guidance anchors FY2027 revenue only; CRM FY2027 GAAP margin 20.1% from CRM_Q27. Future values are analyst scenarios.</xltc:text>
  </xltc:threadedComment>
  <xltc:threadedComment ref="E80" dT="2026-09-06T10:06:39.412" personId="{D6D16F69-3AF2-455A-9F71-7D937E2A36BF}" id="{09ADEB52-75A7-47F3-A20E-0E8C5C19458D}">
    <xltc:text>Assumption: gtlbGrowth; management guidance anchors FY2027 revenue only; CRM FY2027 GAAP margin 20.1% from CRM_Q27. Future values are analyst scenarios.</xltc:text>
  </xltc:threadedComment>
  <xltc:threadedComment ref="F80" dT="2026-09-06T10:06:39.412" personId="{D6D16F69-3AF2-455A-9F71-7D937E2A36BF}" id="{FC1A4D0C-C8B9-47D9-B93E-698F5F64A8F7}">
    <xltc:text>Assumption: gtlbGrowth; management guidance anchors FY2027 revenue only; CRM FY2027 GAAP margin 20.1% from CRM_Q27. Future values are analyst scenarios.</xltc:text>
  </xltc:threadedComment>
  <xltc:threadedComment ref="G80" dT="2026-09-06T10:06:39.412" personId="{D6D16F69-3AF2-455A-9F71-7D937E2A36BF}" id="{0B164727-E261-4480-8D8F-2720C8A9D108}">
    <xltc:text>Assumption: gtlbGrowth; management guidance anchors FY2027 revenue only; CRM FY2027 GAAP margin 20.1% from CRM_Q27. Future values are analyst scenarios.</xltc:text>
  </xltc:threadedComment>
  <xltc:threadedComment ref="B81" dT="2026-09-06T10:06:39.412" personId="{D6D16F69-3AF2-455A-9F71-7D937E2A36BF}" id="{5AE585B7-71AF-4A7A-9E04-B2F4898174AE}">
    <xltc:text>Assumption: gtlbGross; management guidance anchors FY2027 revenue only; CRM FY2027 GAAP margin 20.1% from CRM_Q27. Future values are analyst scenarios.</xltc:text>
  </xltc:threadedComment>
  <xltc:threadedComment ref="C81" dT="2026-09-06T10:06:39.412" personId="{D6D16F69-3AF2-455A-9F71-7D937E2A36BF}" id="{E03B51D4-CB30-4C98-A88D-F03C3ACB01C7}">
    <xltc:text>Assumption: gtlbGross; management guidance anchors FY2027 revenue only; CRM FY2027 GAAP margin 20.1% from CRM_Q27. Future values are analyst scenarios.</xltc:text>
  </xltc:threadedComment>
  <xltc:threadedComment ref="D81" dT="2026-09-06T10:06:39.412" personId="{D6D16F69-3AF2-455A-9F71-7D937E2A36BF}" id="{B7635651-00D6-4BBA-BC66-2C38E52E7A5C}">
    <xltc:text>Assumption: gtlbGross; management guidance anchors FY2027 revenue only; CRM FY2027 GAAP margin 20.1% from CRM_Q27. Future values are analyst scenarios.</xltc:text>
  </xltc:threadedComment>
  <xltc:threadedComment ref="E81" dT="2026-09-06T10:06:39.412" personId="{D6D16F69-3AF2-455A-9F71-7D937E2A36BF}" id="{1197058A-7855-4BFD-899B-4F4ADEBB2354}">
    <xltc:text>Assumption: gtlbGross; management guidance anchors FY2027 revenue only; CRM FY2027 GAAP margin 20.1% from CRM_Q27. Future values are analyst scenarios.</xltc:text>
  </xltc:threadedComment>
  <xltc:threadedComment ref="F81" dT="2026-09-06T10:06:39.412" personId="{D6D16F69-3AF2-455A-9F71-7D937E2A36BF}" id="{8F55CA5A-45AF-4027-A1DA-A32A34662161}">
    <xltc:text>Assumption: gtlbGross; management guidance anchors FY2027 revenue only; CRM FY2027 GAAP margin 20.1% from CRM_Q27. Future values are analyst scenarios.</xltc:text>
  </xltc:threadedComment>
  <xltc:threadedComment ref="G81" dT="2026-09-06T10:06:39.412" personId="{D6D16F69-3AF2-455A-9F71-7D937E2A36BF}" id="{71EAA74C-99DE-4303-A247-58B296410844}">
    <xltc:text>Assumption: gtlbGross; management guidance anchors FY2027 revenue only; CRM FY2027 GAAP margin 20.1% from CRM_Q27. Future values are analyst scenarios.</xltc:text>
  </xltc:threadedComment>
  <xltc:threadedComment ref="B82" dT="2026-09-06T10:06:39.412" personId="{D6D16F69-3AF2-455A-9F71-7D937E2A36BF}" id="{25B640DA-D45E-417D-8F3D-89459067B0BA}">
    <xltc:text>Assumption: gtlbPreSBC; management guidance anchors FY2027 revenue only; CRM FY2027 GAAP margin 20.1% from CRM_Q27. Future values are analyst scenarios.</xltc:text>
  </xltc:threadedComment>
  <xltc:threadedComment ref="C82" dT="2026-09-06T10:06:39.413" personId="{D6D16F69-3AF2-455A-9F71-7D937E2A36BF}" id="{0A621776-7CDB-4D59-9143-91C07336611D}">
    <xltc:text>Assumption: gtlbPreSBC; management guidance anchors FY2027 revenue only; CRM FY2027 GAAP margin 20.1% from CRM_Q27. Future values are analyst scenarios.</xltc:text>
  </xltc:threadedComment>
  <xltc:threadedComment ref="D82" dT="2026-09-06T10:06:39.413" personId="{D6D16F69-3AF2-455A-9F71-7D937E2A36BF}" id="{FB741329-52EE-427E-AF62-296245C689CE}">
    <xltc:text>Assumption: gtlbPreSBC; management guidance anchors FY2027 revenue only; CRM FY2027 GAAP margin 20.1% from CRM_Q27. Future values are analyst scenarios.</xltc:text>
  </xltc:threadedComment>
  <xltc:threadedComment ref="E82" dT="2026-09-06T10:06:39.413" personId="{D6D16F69-3AF2-455A-9F71-7D937E2A36BF}" id="{FD360FC1-D1AF-4400-B5AB-FFF4AE614D86}">
    <xltc:text>Assumption: gtlbPreSBC; management guidance anchors FY2027 revenue only; CRM FY2027 GAAP margin 20.1% from CRM_Q27. Future values are analyst scenarios.</xltc:text>
  </xltc:threadedComment>
  <xltc:threadedComment ref="F82" dT="2026-09-06T10:06:39.413" personId="{D6D16F69-3AF2-455A-9F71-7D937E2A36BF}" id="{8ED26054-1ECD-4CAC-99CB-9E14B58AA837}">
    <xltc:text>Assumption: gtlbPreSBC; management guidance anchors FY2027 revenue only; CRM FY2027 GAAP margin 20.1% from CRM_Q27. Future values are analyst scenarios.</xltc:text>
  </xltc:threadedComment>
  <xltc:threadedComment ref="G82" dT="2026-09-06T10:06:39.413" personId="{D6D16F69-3AF2-455A-9F71-7D937E2A36BF}" id="{56130ECD-D00C-4F97-A8D2-5A3197108AC6}">
    <xltc:text>Assumption: gtlbPreSBC; management guidance anchors FY2027 revenue only; CRM FY2027 GAAP margin 20.1% from CRM_Q27. Future values are analyst scenarios.</xltc:text>
  </xltc:threadedComment>
  <xltc:threadedComment ref="B83" dT="2026-09-06T10:06:39.413" personId="{D6D16F69-3AF2-455A-9F71-7D937E2A36BF}" id="{2CF4524A-6E09-42FC-A7FF-061BCF788A14}">
    <xltc:text>Assumption: gtlbSBC; management guidance anchors FY2027 revenue only; CRM FY2027 GAAP margin 20.1% from CRM_Q27. Future values are analyst scenarios.</xltc:text>
  </xltc:threadedComment>
  <xltc:threadedComment ref="C83" dT="2026-09-06T10:06:39.413" personId="{D6D16F69-3AF2-455A-9F71-7D937E2A36BF}" id="{A0BA6BB3-8D91-4E70-ACDC-A04725EDDACC}">
    <xltc:text>Assumption: gtlbSBC; management guidance anchors FY2027 revenue only; CRM FY2027 GAAP margin 20.1% from CRM_Q27. Future values are analyst scenarios.</xltc:text>
  </xltc:threadedComment>
  <xltc:threadedComment ref="D83" dT="2026-09-06T10:06:39.413" personId="{D6D16F69-3AF2-455A-9F71-7D937E2A36BF}" id="{0F472C43-7A4F-47AC-9881-7CE9B6AB6810}">
    <xltc:text>Assumption: gtlbSBC; management guidance anchors FY2027 revenue only; CRM FY2027 GAAP margin 20.1% from CRM_Q27. Future values are analyst scenarios.</xltc:text>
  </xltc:threadedComment>
  <xltc:threadedComment ref="E83" dT="2026-09-06T10:06:39.413" personId="{D6D16F69-3AF2-455A-9F71-7D937E2A36BF}" id="{E48C37D9-A81A-4C60-8C93-460F77DD62DE}">
    <xltc:text>Assumption: gtlbSBC; management guidance anchors FY2027 revenue only; CRM FY2027 GAAP margin 20.1% from CRM_Q27. Future values are analyst scenarios.</xltc:text>
  </xltc:threadedComment>
  <xltc:threadedComment ref="F83" dT="2026-09-06T10:06:39.413" personId="{D6D16F69-3AF2-455A-9F71-7D937E2A36BF}" id="{19173B07-C3DD-414D-A588-40B79B2DE858}">
    <xltc:text>Assumption: gtlbSBC; management guidance anchors FY2027 revenue only; CRM FY2027 GAAP margin 20.1% from CRM_Q27. Future values are analyst scenarios.</xltc:text>
  </xltc:threadedComment>
  <xltc:threadedComment ref="G83" dT="2026-09-06T10:06:39.413" personId="{D6D16F69-3AF2-455A-9F71-7D937E2A36BF}" id="{490762DF-1218-47C6-BF5D-9AA8CF7F281A}">
    <xltc:text>Assumption: gtlbSBC; management guidance anchors FY2027 revenue only; CRM FY2027 GAAP margin 20.1% from CRM_Q27. Future values are analyst scenarios.</xltc:text>
  </xltc:threadedComment>
  <xltc:threadedComment ref="B84" dT="2026-09-06T10:06:39.413" personId="{D6D16F69-3AF2-455A-9F71-7D937E2A36BF}" id="{AA1EE83E-8CDF-463F-9091-073411E4610C}">
    <xltc:text>Assumption: gtlbShares; management guidance anchors FY2027 revenue only; CRM FY2027 GAAP margin 20.1% from CRM_Q27. Future values are analyst scenarios.</xltc:text>
  </xltc:threadedComment>
  <xltc:threadedComment ref="C84" dT="2026-09-06T10:06:39.413" personId="{D6D16F69-3AF2-455A-9F71-7D937E2A36BF}" id="{127B5649-BF11-4402-BE27-9B251BB9AFDB}">
    <xltc:text>Assumption: gtlbShares; management guidance anchors FY2027 revenue only; CRM FY2027 GAAP margin 20.1% from CRM_Q27. Future values are analyst scenarios.</xltc:text>
  </xltc:threadedComment>
  <xltc:threadedComment ref="D84" dT="2026-09-06T10:06:39.414" personId="{D6D16F69-3AF2-455A-9F71-7D937E2A36BF}" id="{0E8BE273-64C4-4A40-BE71-EF0EFAB5C46A}">
    <xltc:text>Assumption: gtlbShares; management guidance anchors FY2027 revenue only; CRM FY2027 GAAP margin 20.1% from CRM_Q27. Future values are analyst scenarios.</xltc:text>
  </xltc:threadedComment>
  <xltc:threadedComment ref="E84" dT="2026-09-06T10:06:39.414" personId="{D6D16F69-3AF2-455A-9F71-7D937E2A36BF}" id="{0862B838-F174-4544-A916-30AB96D93809}">
    <xltc:text>Assumption: gtlbShares; management guidance anchors FY2027 revenue only; CRM FY2027 GAAP margin 20.1% from CRM_Q27. Future values are analyst scenarios.</xltc:text>
  </xltc:threadedComment>
  <xltc:threadedComment ref="F84" dT="2026-09-06T10:06:39.414" personId="{D6D16F69-3AF2-455A-9F71-7D937E2A36BF}" id="{BF91E8E2-7CE0-48CE-9538-1B4B2B90FD23}">
    <xltc:text>Assumption: gtlbShares; management guidance anchors FY2027 revenue only; CRM FY2027 GAAP margin 20.1% from CRM_Q27. Future values are analyst scenarios.</xltc:text>
  </xltc:threadedComment>
  <xltc:threadedComment ref="G84" dT="2026-09-06T10:06:39.414" personId="{D6D16F69-3AF2-455A-9F71-7D937E2A36BF}" id="{DC7CD7EF-B8D7-456D-9EBD-95D2C441B74C}">
    <xltc:text>Assumption: gtlbShares; management guidance anchors FY2027 revenue only; CRM FY2027 GAAP margin 20.1% from CRM_Q27. Future values are analyst scenarios.</xltc:text>
  </xltc:threadedComment>
  <xltc:threadedComment ref="B85" dT="2026-09-06T10:06:39.414" personId="{D6D16F69-3AF2-455A-9F71-7D937E2A36BF}" id="{5405F7D8-A451-4C58-9317-BE87A663A818}">
    <xltc:text>Assumption: gtlbDA; management guidance anchors FY2027 revenue only; CRM FY2027 GAAP margin 20.1% from CRM_Q27. Future values are analyst scenarios.</xltc:text>
  </xltc:threadedComment>
  <xltc:threadedComment ref="C85" dT="2026-09-06T10:06:39.414" personId="{D6D16F69-3AF2-455A-9F71-7D937E2A36BF}" id="{BBD16B88-EC7D-4CCB-B149-DC3FE1548A7F}">
    <xltc:text>Assumption: gtlbDA; management guidance anchors FY2027 revenue only; CRM FY2027 GAAP margin 20.1% from CRM_Q27. Future values are analyst scenarios.</xltc:text>
  </xltc:threadedComment>
  <xltc:threadedComment ref="D85" dT="2026-09-06T10:06:39.414" personId="{D6D16F69-3AF2-455A-9F71-7D937E2A36BF}" id="{E02E7A5E-7A7E-4760-BA58-101B0338AF8B}">
    <xltc:text>Assumption: gtlbDA; management guidance anchors FY2027 revenue only; CRM FY2027 GAAP margin 20.1% from CRM_Q27. Future values are analyst scenarios.</xltc:text>
  </xltc:threadedComment>
  <xltc:threadedComment ref="E85" dT="2026-09-06T10:06:39.414" personId="{D6D16F69-3AF2-455A-9F71-7D937E2A36BF}" id="{8D7DB1D4-0C14-4FE3-ACF4-C32CCBE62AA9}">
    <xltc:text>Assumption: gtlbDA; management guidance anchors FY2027 revenue only; CRM FY2027 GAAP margin 20.1% from CRM_Q27. Future values are analyst scenarios.</xltc:text>
  </xltc:threadedComment>
  <xltc:threadedComment ref="F85" dT="2026-09-06T10:06:39.414" personId="{D6D16F69-3AF2-455A-9F71-7D937E2A36BF}" id="{7B9CCE23-64C6-46F7-9F7E-69E0CE123404}">
    <xltc:text>Assumption: gtlbDA; management guidance anchors FY2027 revenue only; CRM FY2027 GAAP margin 20.1% from CRM_Q27. Future values are analyst scenarios.</xltc:text>
  </xltc:threadedComment>
  <xltc:threadedComment ref="G85" dT="2026-09-06T10:06:39.414" personId="{D6D16F69-3AF2-455A-9F71-7D937E2A36BF}" id="{DD2F82E5-6C04-4C8C-BF52-298B231F0F52}">
    <xltc:text>Assumption: gtlbDA; management guidance anchors FY2027 revenue only; CRM FY2027 GAAP margin 20.1% from CRM_Q27. Future values are analyst scenarios.</xltc:text>
  </xltc:threadedComment>
  <xltc:threadedComment ref="B86" dT="2026-09-06T10:06:39.414" personId="{D6D16F69-3AF2-455A-9F71-7D937E2A36BF}" id="{D0E0172E-DC97-4CFB-8FBD-73B0542204F1}">
    <xltc:text>Assumption: gtlbCapex; management guidance anchors FY2027 revenue only; CRM FY2027 GAAP margin 20.1% from CRM_Q27. Future values are analyst scenarios.</xltc:text>
  </xltc:threadedComment>
  <xltc:threadedComment ref="C86" dT="2026-09-06T10:06:39.414" personId="{D6D16F69-3AF2-455A-9F71-7D937E2A36BF}" id="{2858129F-B63B-4F5E-A85F-6E4102232983}">
    <xltc:text>Assumption: gtlbCapex; management guidance anchors FY2027 revenue only; CRM FY2027 GAAP margin 20.1% from CRM_Q27. Future values are analyst scenarios.</xltc:text>
  </xltc:threadedComment>
  <xltc:threadedComment ref="D86" dT="2026-09-06T10:06:39.414" personId="{D6D16F69-3AF2-455A-9F71-7D937E2A36BF}" id="{F73C8863-2500-4047-9102-003A746C529B}">
    <xltc:text>Assumption: gtlbCapex; management guidance anchors FY2027 revenue only; CRM FY2027 GAAP margin 20.1% from CRM_Q27. Future values are analyst scenarios.</xltc:text>
  </xltc:threadedComment>
  <xltc:threadedComment ref="E86" dT="2026-09-06T10:06:39.414" personId="{D6D16F69-3AF2-455A-9F71-7D937E2A36BF}" id="{D93C3AF4-1446-4387-AF17-FDEB8232EC7E}">
    <xltc:text>Assumption: gtlbCapex; management guidance anchors FY2027 revenue only; CRM FY2027 GAAP margin 20.1% from CRM_Q27. Future values are analyst scenarios.</xltc:text>
  </xltc:threadedComment>
  <xltc:threadedComment ref="F86" dT="2026-09-06T10:06:39.414" personId="{D6D16F69-3AF2-455A-9F71-7D937E2A36BF}" id="{3F55B10B-B4A2-4D98-A3C6-509B5B1415CF}">
    <xltc:text>Assumption: gtlbCapex; management guidance anchors FY2027 revenue only; CRM FY2027 GAAP margin 20.1% from CRM_Q27. Future values are analyst scenarios.</xltc:text>
  </xltc:threadedComment>
  <xltc:threadedComment ref="G86" dT="2026-09-06T10:06:39.414" personId="{D6D16F69-3AF2-455A-9F71-7D937E2A36BF}" id="{45D92D81-7731-4A40-BB5C-C05B037330FC}">
    <xltc:text>Assumption: gtlbCapex; management guidance anchors FY2027 revenue only; CRM FY2027 GAAP margin 20.1% from CRM_Q27. Future values are analyst scenarios.</xltc:text>
  </xltc:threadedComment>
  <xltc:threadedComment ref="B87" dT="2026-09-06T10:06:39.414" personId="{D6D16F69-3AF2-455A-9F71-7D937E2A36BF}" id="{D75A8D25-645E-4693-A3D4-F816B05F1DAF}">
    <xltc:text>Assumption: gtlbNWC; management guidance anchors FY2027 revenue only; CRM FY2027 GAAP margin 20.1% from CRM_Q27. Future values are analyst scenarios.</xltc:text>
  </xltc:threadedComment>
  <xltc:threadedComment ref="C87" dT="2026-09-06T10:06:39.414" personId="{D6D16F69-3AF2-455A-9F71-7D937E2A36BF}" id="{8D271554-B94C-4160-B727-8EBBC494A1E4}">
    <xltc:text>Assumption: gtlbNWC; management guidance anchors FY2027 revenue only; CRM FY2027 GAAP margin 20.1% from CRM_Q27. Future values are analyst scenarios.</xltc:text>
  </xltc:threadedComment>
  <xltc:threadedComment ref="D87" dT="2026-09-06T10:06:39.414" personId="{D6D16F69-3AF2-455A-9F71-7D937E2A36BF}" id="{034163E1-8A22-4E9D-9D62-1D57B46C1797}">
    <xltc:text>Assumption: gtlbNWC; management guidance anchors FY2027 revenue only; CRM FY2027 GAAP margin 20.1% from CRM_Q27. Future values are analyst scenarios.</xltc:text>
  </xltc:threadedComment>
  <xltc:threadedComment ref="E87" dT="2026-09-06T10:06:39.414" personId="{D6D16F69-3AF2-455A-9F71-7D937E2A36BF}" id="{456841C7-1A82-4766-AFEF-3F2E6E9F0E28}">
    <xltc:text>Assumption: gtlbNWC; management guidance anchors FY2027 revenue only; CRM FY2027 GAAP margin 20.1% from CRM_Q27. Future values are analyst scenarios.</xltc:text>
  </xltc:threadedComment>
  <xltc:threadedComment ref="F87" dT="2026-09-06T10:06:39.414" personId="{D6D16F69-3AF2-455A-9F71-7D937E2A36BF}" id="{A77FF3E0-B5D0-417A-9BC3-A59B06FB9BF0}">
    <xltc:text>Assumption: gtlbNWC; management guidance anchors FY2027 revenue only; CRM FY2027 GAAP margin 20.1% from CRM_Q27. Future values are analyst scenarios.</xltc:text>
  </xltc:threadedComment>
  <xltc:threadedComment ref="G87" dT="2026-09-06T10:06:39.415" personId="{D6D16F69-3AF2-455A-9F71-7D937E2A36BF}" id="{1DDB6315-B676-494F-BA6D-5735521B44AF}">
    <xltc:text>Assumption: gtlbNWC; management guidance anchors FY2027 revenue only; CRM FY2027 GAAP margin 20.1% from CRM_Q27. Future values are analyst scenarios.</xltc:text>
  </xltc:threadedComment>
  <xltc:threadedComment ref="B97" dT="2026-09-06T10:06:39.415" personId="{D6D16F69-3AF2-455A-9F71-7D937E2A36BF}" id="{08033E8C-F3E5-4CD8-8875-DB58CC7329E1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97" dT="2026-09-06T10:06:39.416" personId="{D6D16F69-3AF2-455A-9F71-7D937E2A36BF}" id="{793846A7-E48C-4E03-BD87-F0EB582386D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D97" dT="2026-09-06T10:06:39.416" personId="{D6D16F69-3AF2-455A-9F71-7D937E2A36BF}" id="{DC2CD548-C9A4-4A9E-B536-A53483538C3D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98" dT="2026-09-06T10:06:39.419" personId="{D6D16F69-3AF2-455A-9F71-7D937E2A36BF}" id="{C48B69BE-D144-4460-AC41-BC71D3C29972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98" dT="2026-09-06T10:06:39.419" personId="{D6D16F69-3AF2-455A-9F71-7D937E2A36BF}" id="{D1C00CD9-897D-49F1-8FDC-7BE7AF3AB6B0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D98" dT="2026-09-06T10:06:39.419" personId="{D6D16F69-3AF2-455A-9F71-7D937E2A36BF}" id="{E81BD88E-63E4-4853-9DCC-AF7DA747D90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99" dT="2026-09-06T10:06:39.419" personId="{D6D16F69-3AF2-455A-9F71-7D937E2A36BF}" id="{4CBF6675-CA64-4F27-BCDD-81BAEE7DCFA7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99" dT="2026-09-06T10:06:39.419" personId="{D6D16F69-3AF2-455A-9F71-7D937E2A36BF}" id="{06A3A4F0-3CAF-40E6-84FC-BC3D8F58A04C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D99" dT="2026-09-06T10:06:39.419" personId="{D6D16F69-3AF2-455A-9F71-7D937E2A36BF}" id="{32B55849-475D-4281-8150-BE6E414C87B7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00" dT="2026-09-06T10:06:39.42" personId="{D6D16F69-3AF2-455A-9F71-7D937E2A36BF}" id="{538A4922-37B2-46C1-ACF0-510FB424E16F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100" dT="2026-09-06T10:06:39.421" personId="{D6D16F69-3AF2-455A-9F71-7D937E2A36BF}" id="{C5948310-F2E8-452D-8E83-DD9327C8E9B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D100" dT="2026-09-06T10:06:39.421" personId="{D6D16F69-3AF2-455A-9F71-7D937E2A36BF}" id="{FD0A8BB9-5A92-498A-BFF4-88E82EA47545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06" dT="2026-09-06T10:06:39.422" personId="{D6D16F69-3AF2-455A-9F71-7D937E2A36BF}" id="{D217DFAD-8E6C-40ED-89DE-BFE84A66F4B9}">
    <xltc:text>Assumption: 1 percentage point sensitivity step.</xltc:text>
  </xltc:threadedComment>
  <xltc:threadedComment ref="B107" dT="2026-09-06T10:06:39.422" personId="{D6D16F69-3AF2-455A-9F71-7D937E2A36BF}" id="{DE3E5788-5009-458C-8503-F353A39422A7}">
    <xltc:text>Assumption: 0.5 percentage point sensitivity step.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9-06T10:06:39.423" personId="{D6D16F69-3AF2-455A-9F71-7D937E2A36BF}" id="{91747B69-F685-49FD-B692-EDE0F31A1DE3}">
    <xltc:text>CRM_K26: Salesforce FY2026 10-K; annual statements FY2024-26. Published 2026-03-02. https://d18rn0p25nwr6d.cloudfront.net/CIK-0001108524/c44246da-3bfa-4f76-beb5-d9270f4e339f.html</xltc:text>
  </xltc:threadedComment>
  <xltc:threadedComment ref="C5" dT="2026-09-06T10:06:39.423" personId="{D6D16F69-3AF2-455A-9F71-7D937E2A36BF}" id="{87FBFB03-BC70-4391-AFC8-78403F534FF1}">
    <xltc:text>CRM_K26: Salesforce FY2026 10-K; annual statements FY2024-26. Published 2026-03-02. https://d18rn0p25nwr6d.cloudfront.net/CIK-0001108524/c44246da-3bfa-4f76-beb5-d9270f4e339f.html</xltc:text>
  </xltc:threadedComment>
  <xltc:threadedComment ref="D5" dT="2026-09-06T10:06:39.423" personId="{D6D16F69-3AF2-455A-9F71-7D937E2A36BF}" id="{3C338E61-7FA6-4E84-B72C-2A336B4379F5}">
    <xltc:text>CRM_K26: Salesforce FY2026 10-K; annual statements FY2024-26. Published 2026-03-02. https://d18rn0p25nwr6d.cloudfront.net/CIK-0001108524/c44246da-3bfa-4f76-beb5-d9270f4e339f.html</xltc:text>
  </xltc:threadedComment>
  <xltc:threadedComment ref="E5" dT="2026-09-06T10:06:39.423" personId="{D6D16F69-3AF2-455A-9F71-7D937E2A36BF}" id="{CA007DF6-2B15-46EB-807E-B66B3A850A8D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5" dT="2026-09-06T10:06:39.423" personId="{D6D16F69-3AF2-455A-9F71-7D937E2A36BF}" id="{DE7C77E3-3171-4706-B95E-FB900818751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6" dT="2026-09-06T10:06:39.423" personId="{D6D16F69-3AF2-455A-9F71-7D937E2A36BF}" id="{23584DEF-D894-4801-B1EC-6DB5B2F4F768}">
    <xltc:text>CRM_K26: Salesforce FY2026 10-K; annual statements FY2024-26. Published 2026-03-02. https://d18rn0p25nwr6d.cloudfront.net/CIK-0001108524/c44246da-3bfa-4f76-beb5-d9270f4e339f.html</xltc:text>
  </xltc:threadedComment>
  <xltc:threadedComment ref="C6" dT="2026-09-06T10:06:39.423" personId="{D6D16F69-3AF2-455A-9F71-7D937E2A36BF}" id="{E6D86B27-8D3F-4774-8881-5E74CD67057F}">
    <xltc:text>CRM_K26: Salesforce FY2026 10-K; annual statements FY2024-26. Published 2026-03-02. https://d18rn0p25nwr6d.cloudfront.net/CIK-0001108524/c44246da-3bfa-4f76-beb5-d9270f4e339f.html</xltc:text>
  </xltc:threadedComment>
  <xltc:threadedComment ref="D6" dT="2026-09-06T10:06:39.423" personId="{D6D16F69-3AF2-455A-9F71-7D937E2A36BF}" id="{C3A8FD3C-BC43-421C-8256-60DD933F75EB}">
    <xltc:text>CRM_K26: Salesforce FY2026 10-K; annual statements FY2024-26. Published 2026-03-02. https://d18rn0p25nwr6d.cloudfront.net/CIK-0001108524/c44246da-3bfa-4f76-beb5-d9270f4e339f.html</xltc:text>
  </xltc:threadedComment>
  <xltc:threadedComment ref="E6" dT="2026-09-06T10:06:39.423" personId="{D6D16F69-3AF2-455A-9F71-7D937E2A36BF}" id="{BC299923-A5B0-4060-BD29-8CE293AC0E30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6" dT="2026-09-06T10:06:39.423" personId="{D6D16F69-3AF2-455A-9F71-7D937E2A36BF}" id="{AB450F5F-523A-46FE-B18F-96A5A0A846A5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8" dT="2026-09-06T10:06:39.423" personId="{D6D16F69-3AF2-455A-9F71-7D937E2A36BF}" id="{7918FCA7-5E80-4ADE-AAA2-3C6BA4E383E6}">
    <xltc:text>CRM_K26: Salesforce FY2026 10-K; annual statements FY2024-26. Published 2026-03-02. https://d18rn0p25nwr6d.cloudfront.net/CIK-0001108524/c44246da-3bfa-4f76-beb5-d9270f4e339f.html</xltc:text>
  </xltc:threadedComment>
  <xltc:threadedComment ref="C8" dT="2026-09-06T10:06:39.423" personId="{D6D16F69-3AF2-455A-9F71-7D937E2A36BF}" id="{F51C9321-387A-4982-B1ED-1A490EC93FC4}">
    <xltc:text>CRM_K26: Salesforce FY2026 10-K; annual statements FY2024-26. Published 2026-03-02. https://d18rn0p25nwr6d.cloudfront.net/CIK-0001108524/c44246da-3bfa-4f76-beb5-d9270f4e339f.html</xltc:text>
  </xltc:threadedComment>
  <xltc:threadedComment ref="D8" dT="2026-09-06T10:06:39.423" personId="{D6D16F69-3AF2-455A-9F71-7D937E2A36BF}" id="{79B48ADD-1504-41E9-94C0-C3BD9B40D788}">
    <xltc:text>CRM_K26: Salesforce FY2026 10-K; annual statements FY2024-26. Published 2026-03-02. https://d18rn0p25nwr6d.cloudfront.net/CIK-0001108524/c44246da-3bfa-4f76-beb5-d9270f4e339f.html</xltc:text>
  </xltc:threadedComment>
  <xltc:threadedComment ref="E8" dT="2026-09-06T10:06:39.423" personId="{D6D16F69-3AF2-455A-9F71-7D937E2A36BF}" id="{8318BB53-0235-4F65-AE83-988C834D7377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8" dT="2026-09-06T10:06:39.424" personId="{D6D16F69-3AF2-455A-9F71-7D937E2A36BF}" id="{98716A42-4D42-4943-B89E-CE35418173B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9" dT="2026-09-06T10:06:39.424" personId="{D6D16F69-3AF2-455A-9F71-7D937E2A36BF}" id="{5630D609-B59F-4F8B-BACB-509F81DB6D4E}">
    <xltc:text>CRM_K26: Salesforce FY2026 10-K; annual statements FY2024-26. Published 2026-03-02. https://d18rn0p25nwr6d.cloudfront.net/CIK-0001108524/c44246da-3bfa-4f76-beb5-d9270f4e339f.html</xltc:text>
  </xltc:threadedComment>
  <xltc:threadedComment ref="C9" dT="2026-09-06T10:06:39.424" personId="{D6D16F69-3AF2-455A-9F71-7D937E2A36BF}" id="{6AA78F54-34DC-4D0E-B668-8CB7402EDBBE}">
    <xltc:text>CRM_K26: Salesforce FY2026 10-K; annual statements FY2024-26. Published 2026-03-02. https://d18rn0p25nwr6d.cloudfront.net/CIK-0001108524/c44246da-3bfa-4f76-beb5-d9270f4e339f.html</xltc:text>
  </xltc:threadedComment>
  <xltc:threadedComment ref="D9" dT="2026-09-06T10:06:39.424" personId="{D6D16F69-3AF2-455A-9F71-7D937E2A36BF}" id="{923E7E69-4F9B-4E68-B100-271738501042}">
    <xltc:text>CRM_K26: Salesforce FY2026 10-K; annual statements FY2024-26. Published 2026-03-02. https://d18rn0p25nwr6d.cloudfront.net/CIK-0001108524/c44246da-3bfa-4f76-beb5-d9270f4e339f.html</xltc:text>
  </xltc:threadedComment>
  <xltc:threadedComment ref="E9" dT="2026-09-06T10:06:39.424" personId="{D6D16F69-3AF2-455A-9F71-7D937E2A36BF}" id="{26731A25-8AB9-4658-B002-57899FE50776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9" dT="2026-09-06T10:06:39.424" personId="{D6D16F69-3AF2-455A-9F71-7D937E2A36BF}" id="{1034CC77-783A-4607-A067-2A995974B13E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0" dT="2026-09-06T10:06:39.424" personId="{D6D16F69-3AF2-455A-9F71-7D937E2A36BF}" id="{1BE73FFE-50F4-43C3-96C9-86B7D9AD4765}">
    <xltc:text>CRM_K26: Salesforce FY2026 10-K; annual statements FY2024-26. Published 2026-03-02. https://d18rn0p25nwr6d.cloudfront.net/CIK-0001108524/c44246da-3bfa-4f76-beb5-d9270f4e339f.html</xltc:text>
  </xltc:threadedComment>
  <xltc:threadedComment ref="C10" dT="2026-09-06T10:06:39.424" personId="{D6D16F69-3AF2-455A-9F71-7D937E2A36BF}" id="{DD31B8DA-25FD-4148-9E46-78E0A428AF47}">
    <xltc:text>CRM_K26: Salesforce FY2026 10-K; annual statements FY2024-26. Published 2026-03-02. https://d18rn0p25nwr6d.cloudfront.net/CIK-0001108524/c44246da-3bfa-4f76-beb5-d9270f4e339f.html</xltc:text>
  </xltc:threadedComment>
  <xltc:threadedComment ref="D10" dT="2026-09-06T10:06:39.424" personId="{D6D16F69-3AF2-455A-9F71-7D937E2A36BF}" id="{302C8C18-B66B-480E-90B9-74426BD863E1}">
    <xltc:text>CRM_K26: Salesforce FY2026 10-K; annual statements FY2024-26. Published 2026-03-02. https://d18rn0p25nwr6d.cloudfront.net/CIK-0001108524/c44246da-3bfa-4f76-beb5-d9270f4e339f.html</xltc:text>
  </xltc:threadedComment>
  <xltc:threadedComment ref="E10" dT="2026-09-06T10:06:39.424" personId="{D6D16F69-3AF2-455A-9F71-7D937E2A36BF}" id="{F7161E81-FB42-4260-A556-D5B7A8481CF4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0" dT="2026-09-06T10:06:39.424" personId="{D6D16F69-3AF2-455A-9F71-7D937E2A36BF}" id="{7D8D3D6B-CBDD-479E-87DA-0B05E383F79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1" dT="2026-09-06T10:06:39.424" personId="{D6D16F69-3AF2-455A-9F71-7D937E2A36BF}" id="{9CE18A48-891F-407E-AD05-012B29DED423}">
    <xltc:text>CRM_K26: Salesforce FY2026 10-K; annual statements FY2024-26. Published 2026-03-02. https://d18rn0p25nwr6d.cloudfront.net/CIK-0001108524/c44246da-3bfa-4f76-beb5-d9270f4e339f.html</xltc:text>
  </xltc:threadedComment>
  <xltc:threadedComment ref="C11" dT="2026-09-06T10:06:39.424" personId="{D6D16F69-3AF2-455A-9F71-7D937E2A36BF}" id="{624A9681-7F47-4C94-BAE8-28E80A060186}">
    <xltc:text>CRM_K26: Salesforce FY2026 10-K; annual statements FY2024-26. Published 2026-03-02. https://d18rn0p25nwr6d.cloudfront.net/CIK-0001108524/c44246da-3bfa-4f76-beb5-d9270f4e339f.html</xltc:text>
  </xltc:threadedComment>
  <xltc:threadedComment ref="D11" dT="2026-09-06T10:06:39.424" personId="{D6D16F69-3AF2-455A-9F71-7D937E2A36BF}" id="{A74B2A31-C78D-44F0-9818-71AC2567F411}">
    <xltc:text>CRM_K26: Salesforce FY2026 10-K; annual statements FY2024-26. Published 2026-03-02. https://d18rn0p25nwr6d.cloudfront.net/CIK-0001108524/c44246da-3bfa-4f76-beb5-d9270f4e339f.html</xltc:text>
  </xltc:threadedComment>
  <xltc:threadedComment ref="E11" dT="2026-09-06T10:06:39.424" personId="{D6D16F69-3AF2-455A-9F71-7D937E2A36BF}" id="{72AEDF2D-ED17-4148-80AA-4F9A8082B4F4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1" dT="2026-09-06T10:06:39.424" personId="{D6D16F69-3AF2-455A-9F71-7D937E2A36BF}" id="{94AC3081-2866-40E2-98D7-C7A6C3BC1E6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3" dT="2026-09-06T10:06:39.425" personId="{D6D16F69-3AF2-455A-9F71-7D937E2A36BF}" id="{1E926A40-5DAF-4ADD-B404-8D6AD34F82EF}">
    <xltc:text>CRM_K26: Salesforce FY2026 10-K; annual statements FY2024-26. Published 2026-03-02. https://d18rn0p25nwr6d.cloudfront.net/CIK-0001108524/c44246da-3bfa-4f76-beb5-d9270f4e339f.html</xltc:text>
  </xltc:threadedComment>
  <xltc:threadedComment ref="C13" dT="2026-09-06T10:06:39.425" personId="{D6D16F69-3AF2-455A-9F71-7D937E2A36BF}" id="{34B6CC47-0359-488B-8F2E-505D67196867}">
    <xltc:text>CRM_K26: Salesforce FY2026 10-K; annual statements FY2024-26. Published 2026-03-02. https://d18rn0p25nwr6d.cloudfront.net/CIK-0001108524/c44246da-3bfa-4f76-beb5-d9270f4e339f.html</xltc:text>
  </xltc:threadedComment>
  <xltc:threadedComment ref="D13" dT="2026-09-06T10:06:39.425" personId="{D6D16F69-3AF2-455A-9F71-7D937E2A36BF}" id="{F3D0D7E1-76EF-4AAB-9458-886D5E8D5C38}">
    <xltc:text>CRM_K26: Salesforce FY2026 10-K; annual statements FY2024-26. Published 2026-03-02. https://d18rn0p25nwr6d.cloudfront.net/CIK-0001108524/c44246da-3bfa-4f76-beb5-d9270f4e339f.html</xltc:text>
  </xltc:threadedComment>
  <xltc:threadedComment ref="E13" dT="2026-09-06T10:06:39.425" personId="{D6D16F69-3AF2-455A-9F71-7D937E2A36BF}" id="{817B8615-C690-4EC8-B7E3-5283631CED02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3" dT="2026-09-06T10:06:39.425" personId="{D6D16F69-3AF2-455A-9F71-7D937E2A36BF}" id="{70E4C01F-D016-4EB9-ACCE-5183E6B9CD31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4" dT="2026-09-06T10:06:39.425" personId="{D6D16F69-3AF2-455A-9F71-7D937E2A36BF}" id="{25FD2097-C902-45B8-B711-E9AC6A3B6F80}">
    <xltc:text>CRM_K26: Salesforce FY2026 10-K; annual statements FY2024-26. Published 2026-03-02. https://d18rn0p25nwr6d.cloudfront.net/CIK-0001108524/c44246da-3bfa-4f76-beb5-d9270f4e339f.html</xltc:text>
  </xltc:threadedComment>
  <xltc:threadedComment ref="C14" dT="2026-09-06T10:06:39.425" personId="{D6D16F69-3AF2-455A-9F71-7D937E2A36BF}" id="{70211800-42D0-46C2-B985-A04045FA32A9}">
    <xltc:text>CRM_K26: Salesforce FY2026 10-K; annual statements FY2024-26. Published 2026-03-02. https://d18rn0p25nwr6d.cloudfront.net/CIK-0001108524/c44246da-3bfa-4f76-beb5-d9270f4e339f.html</xltc:text>
  </xltc:threadedComment>
  <xltc:threadedComment ref="D14" dT="2026-09-06T10:06:39.425" personId="{D6D16F69-3AF2-455A-9F71-7D937E2A36BF}" id="{91D4B206-FE21-47CC-A7E4-1AA7A00B2A60}">
    <xltc:text>CRM_K26: Salesforce FY2026 10-K; annual statements FY2024-26. Published 2026-03-02. https://d18rn0p25nwr6d.cloudfront.net/CIK-0001108524/c44246da-3bfa-4f76-beb5-d9270f4e339f.html</xltc:text>
  </xltc:threadedComment>
  <xltc:threadedComment ref="E14" dT="2026-09-06T10:06:39.425" personId="{D6D16F69-3AF2-455A-9F71-7D937E2A36BF}" id="{B159D4CA-4315-45F1-9B20-07F539FB0C08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4" dT="2026-09-06T10:06:39.425" personId="{D6D16F69-3AF2-455A-9F71-7D937E2A36BF}" id="{6DE3E6F5-7A00-4FF6-98A9-7D424C0F03A9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6" dT="2026-09-06T10:06:39.426" personId="{D6D16F69-3AF2-455A-9F71-7D937E2A36BF}" id="{2E9D2B42-4965-4A6C-BAE5-6C589E0EB054}">
    <xltc:text>CRM_K26: Salesforce FY2026 10-K; annual statements FY2024-26. Published 2026-03-02. https://d18rn0p25nwr6d.cloudfront.net/CIK-0001108524/c44246da-3bfa-4f76-beb5-d9270f4e339f.html</xltc:text>
  </xltc:threadedComment>
  <xltc:threadedComment ref="C16" dT="2026-09-06T10:06:39.426" personId="{D6D16F69-3AF2-455A-9F71-7D937E2A36BF}" id="{768F3D11-5374-4372-A754-4CD1CF719058}">
    <xltc:text>CRM_K26: Salesforce FY2026 10-K; annual statements FY2024-26. Published 2026-03-02. https://d18rn0p25nwr6d.cloudfront.net/CIK-0001108524/c44246da-3bfa-4f76-beb5-d9270f4e339f.html</xltc:text>
  </xltc:threadedComment>
  <xltc:threadedComment ref="D16" dT="2026-09-06T10:06:39.426" personId="{D6D16F69-3AF2-455A-9F71-7D937E2A36BF}" id="{E4ECBD34-4C83-4513-AE76-039E8E27198C}">
    <xltc:text>CRM_K26: Salesforce FY2026 10-K; annual statements FY2024-26. Published 2026-03-02. https://d18rn0p25nwr6d.cloudfront.net/CIK-0001108524/c44246da-3bfa-4f76-beb5-d9270f4e339f.html</xltc:text>
  </xltc:threadedComment>
  <xltc:threadedComment ref="E16" dT="2026-09-06T10:06:39.426" personId="{D6D16F69-3AF2-455A-9F71-7D937E2A36BF}" id="{8B9EEB90-A430-4ADC-9DCA-30C56669B7FD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6" dT="2026-09-06T10:06:39.426" personId="{D6D16F69-3AF2-455A-9F71-7D937E2A36BF}" id="{A2CD5BA7-B75C-472E-8783-296CAB4E5741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18" dT="2026-09-06T10:06:39.426" personId="{D6D16F69-3AF2-455A-9F71-7D937E2A36BF}" id="{4A215373-E0F1-4ADA-A5E2-6070864F0FE7}">
    <xltc:text>CRM_K26: Salesforce FY2026 10-K; annual statements FY2024-26. Published 2026-03-02. https://d18rn0p25nwr6d.cloudfront.net/CIK-0001108524/c44246da-3bfa-4f76-beb5-d9270f4e339f.html</xltc:text>
  </xltc:threadedComment>
  <xltc:threadedComment ref="C18" dT="2026-09-06T10:06:39.426" personId="{D6D16F69-3AF2-455A-9F71-7D937E2A36BF}" id="{C60118A1-70D5-4BD4-8ABE-2CA03FCEDD8A}">
    <xltc:text>CRM_K26: Salesforce FY2026 10-K; annual statements FY2024-26. Published 2026-03-02. https://d18rn0p25nwr6d.cloudfront.net/CIK-0001108524/c44246da-3bfa-4f76-beb5-d9270f4e339f.html</xltc:text>
  </xltc:threadedComment>
  <xltc:threadedComment ref="D18" dT="2026-09-06T10:06:39.426" personId="{D6D16F69-3AF2-455A-9F71-7D937E2A36BF}" id="{283EB708-2ECB-4659-87D6-5E98257A1A4A}">
    <xltc:text>CRM_K26: Salesforce FY2026 10-K; annual statements FY2024-26. Published 2026-03-02. https://d18rn0p25nwr6d.cloudfront.net/CIK-0001108524/c44246da-3bfa-4f76-beb5-d9270f4e339f.html</xltc:text>
  </xltc:threadedComment>
  <xltc:threadedComment ref="E18" dT="2026-09-06T10:06:39.426" personId="{D6D16F69-3AF2-455A-9F71-7D937E2A36BF}" id="{F12DF458-D57E-4596-8848-4932A0DA4EB7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18" dT="2026-09-06T10:06:39.426" personId="{D6D16F69-3AF2-455A-9F71-7D937E2A36BF}" id="{7CBAD7D1-53E5-4410-A4EA-A4513FA0E0E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0" dT="2026-09-06T10:06:39.426" personId="{D6D16F69-3AF2-455A-9F71-7D937E2A36BF}" id="{4ECEA336-2AE7-46C8-A9FD-DE2A48E539D8}">
    <xltc:text>CRM_K26: Salesforce FY2026 10-K; annual statements FY2024-26. Published 2026-03-02. https://d18rn0p25nwr6d.cloudfront.net/CIK-0001108524/c44246da-3bfa-4f76-beb5-d9270f4e339f.html</xltc:text>
  </xltc:threadedComment>
  <xltc:threadedComment ref="C20" dT="2026-09-06T10:06:39.426" personId="{D6D16F69-3AF2-455A-9F71-7D937E2A36BF}" id="{BE0DF782-6470-4553-B693-25FC74958D17}">
    <xltc:text>CRM_K26: Salesforce FY2026 10-K; annual statements FY2024-26. Published 2026-03-02. https://d18rn0p25nwr6d.cloudfront.net/CIK-0001108524/c44246da-3bfa-4f76-beb5-d9270f4e339f.html</xltc:text>
  </xltc:threadedComment>
  <xltc:threadedComment ref="D20" dT="2026-09-06T10:06:39.426" personId="{D6D16F69-3AF2-455A-9F71-7D937E2A36BF}" id="{713E280C-1EB1-40CE-82A9-E3511299AF66}">
    <xltc:text>CRM_K26: Salesforce FY2026 10-K; annual statements FY2024-26. Published 2026-03-02. https://d18rn0p25nwr6d.cloudfront.net/CIK-0001108524/c44246da-3bfa-4f76-beb5-d9270f4e339f.html</xltc:text>
  </xltc:threadedComment>
  <xltc:threadedComment ref="E20" dT="2026-09-06T10:06:39.426" personId="{D6D16F69-3AF2-455A-9F71-7D937E2A36BF}" id="{45D7FF67-4060-4BBA-892A-F2D947A58689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0" dT="2026-09-06T10:06:39.426" personId="{D6D16F69-3AF2-455A-9F71-7D937E2A36BF}" id="{0A746E3D-888C-401F-BD80-C03AF267665D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1" dT="2026-09-06T10:06:39.426" personId="{D6D16F69-3AF2-455A-9F71-7D937E2A36BF}" id="{E2B1C4BD-F9D2-4E60-A2C2-DE8711E239D7}">
    <xltc:text>CRM_K26: Salesforce FY2026 10-K; annual statements FY2024-26. Published 2026-03-02. https://d18rn0p25nwr6d.cloudfront.net/CIK-0001108524/c44246da-3bfa-4f76-beb5-d9270f4e339f.html</xltc:text>
  </xltc:threadedComment>
  <xltc:threadedComment ref="C21" dT="2026-09-06T10:06:39.426" personId="{D6D16F69-3AF2-455A-9F71-7D937E2A36BF}" id="{8B15B045-6483-41C2-B79F-9D46AD82D59E}">
    <xltc:text>CRM_K26: Salesforce FY2026 10-K; annual statements FY2024-26. Published 2026-03-02. https://d18rn0p25nwr6d.cloudfront.net/CIK-0001108524/c44246da-3bfa-4f76-beb5-d9270f4e339f.html</xltc:text>
  </xltc:threadedComment>
  <xltc:threadedComment ref="D21" dT="2026-09-06T10:06:39.426" personId="{D6D16F69-3AF2-455A-9F71-7D937E2A36BF}" id="{E69E479D-5814-4741-BCDC-20DB6B735822}">
    <xltc:text>CRM_K26: Salesforce FY2026 10-K; annual statements FY2024-26. Published 2026-03-02. https://d18rn0p25nwr6d.cloudfront.net/CIK-0001108524/c44246da-3bfa-4f76-beb5-d9270f4e339f.html</xltc:text>
  </xltc:threadedComment>
  <xltc:threadedComment ref="E21" dT="2026-09-06T10:06:39.426" personId="{D6D16F69-3AF2-455A-9F71-7D937E2A36BF}" id="{B7D7D613-A8CB-4B46-A9FE-73E67D592EF0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1" dT="2026-09-06T10:06:39.427" personId="{D6D16F69-3AF2-455A-9F71-7D937E2A36BF}" id="{003E5F7C-DFA6-409A-8137-40FF43BDA884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2" dT="2026-09-06T10:06:39.427" personId="{D6D16F69-3AF2-455A-9F71-7D937E2A36BF}" id="{56AA77AF-B4BC-4EC1-A406-57499AFC1160}">
    <xltc:text>CRM_K26: Salesforce FY2026 10-K; annual statements FY2024-26. Published 2026-03-02. https://d18rn0p25nwr6d.cloudfront.net/CIK-0001108524/c44246da-3bfa-4f76-beb5-d9270f4e339f.html</xltc:text>
  </xltc:threadedComment>
  <xltc:threadedComment ref="C22" dT="2026-09-06T10:06:39.427" personId="{D6D16F69-3AF2-455A-9F71-7D937E2A36BF}" id="{900C7C31-C303-468B-B5BA-319A3EF4C172}">
    <xltc:text>CRM_K26: Salesforce FY2026 10-K; annual statements FY2024-26. Published 2026-03-02. https://d18rn0p25nwr6d.cloudfront.net/CIK-0001108524/c44246da-3bfa-4f76-beb5-d9270f4e339f.html</xltc:text>
  </xltc:threadedComment>
  <xltc:threadedComment ref="D22" dT="2026-09-06T10:06:39.427" personId="{D6D16F69-3AF2-455A-9F71-7D937E2A36BF}" id="{279EF465-B17B-4EDA-96F9-92FFC541F572}">
    <xltc:text>CRM_K26: Salesforce FY2026 10-K; annual statements FY2024-26. Published 2026-03-02. https://d18rn0p25nwr6d.cloudfront.net/CIK-0001108524/c44246da-3bfa-4f76-beb5-d9270f4e339f.html</xltc:text>
  </xltc:threadedComment>
  <xltc:threadedComment ref="E22" dT="2026-09-06T10:06:39.427" personId="{D6D16F69-3AF2-455A-9F71-7D937E2A36BF}" id="{80DF38B3-C443-42C2-9248-F8F0244CACF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2" dT="2026-09-06T10:06:39.427" personId="{D6D16F69-3AF2-455A-9F71-7D937E2A36BF}" id="{EA26EC5A-C385-42BF-950B-E2A51F1A0F0A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3" dT="2026-09-06T10:06:39.427" personId="{D6D16F69-3AF2-455A-9F71-7D937E2A36BF}" id="{6DF25F3A-2A96-4E2B-B432-53AC45C50F10}">
    <xltc:text>CRM_K26: Salesforce FY2026 10-K; annual statements FY2024-26. Published 2026-03-02. https://d18rn0p25nwr6d.cloudfront.net/CIK-0001108524/c44246da-3bfa-4f76-beb5-d9270f4e339f.html</xltc:text>
  </xltc:threadedComment>
  <xltc:threadedComment ref="C23" dT="2026-09-06T10:06:39.427" personId="{D6D16F69-3AF2-455A-9F71-7D937E2A36BF}" id="{B128ED4D-EB51-4CCD-866C-9F4154294C0E}">
    <xltc:text>CRM_K26: Salesforce FY2026 10-K; annual statements FY2024-26. Published 2026-03-02. https://d18rn0p25nwr6d.cloudfront.net/CIK-0001108524/c44246da-3bfa-4f76-beb5-d9270f4e339f.html</xltc:text>
  </xltc:threadedComment>
  <xltc:threadedComment ref="D23" dT="2026-09-06T10:06:39.427" personId="{D6D16F69-3AF2-455A-9F71-7D937E2A36BF}" id="{88CBBF68-C785-429E-AE82-25B59907F291}">
    <xltc:text>CRM_K26: Salesforce FY2026 10-K; annual statements FY2024-26. Published 2026-03-02. https://d18rn0p25nwr6d.cloudfront.net/CIK-0001108524/c44246da-3bfa-4f76-beb5-d9270f4e339f.html</xltc:text>
  </xltc:threadedComment>
  <xltc:threadedComment ref="E23" dT="2026-09-06T10:06:39.427" personId="{D6D16F69-3AF2-455A-9F71-7D937E2A36BF}" id="{DFEB13F9-957E-41C0-AF0E-9649089739B0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3" dT="2026-09-06T10:06:39.427" personId="{D6D16F69-3AF2-455A-9F71-7D937E2A36BF}" id="{A396F030-B73B-4C02-8780-3FE906775C2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4" dT="2026-09-06T10:06:39.427" personId="{D6D16F69-3AF2-455A-9F71-7D937E2A36BF}" id="{FF60A8EE-6F91-417E-9D68-C7513C78289E}">
    <xltc:text>CRM_K26: Salesforce FY2026 10-K; annual statements FY2024-26. Published 2026-03-02. https://d18rn0p25nwr6d.cloudfront.net/CIK-0001108524/c44246da-3bfa-4f76-beb5-d9270f4e339f.html</xltc:text>
  </xltc:threadedComment>
  <xltc:threadedComment ref="C24" dT="2026-09-06T10:06:39.427" personId="{D6D16F69-3AF2-455A-9F71-7D937E2A36BF}" id="{BF21DA12-9B11-4470-9E94-D4ED4B816791}">
    <xltc:text>CRM_K26: Salesforce FY2026 10-K; annual statements FY2024-26. Published 2026-03-02. https://d18rn0p25nwr6d.cloudfront.net/CIK-0001108524/c44246da-3bfa-4f76-beb5-d9270f4e339f.html</xltc:text>
  </xltc:threadedComment>
  <xltc:threadedComment ref="D24" dT="2026-09-06T10:06:39.427" personId="{D6D16F69-3AF2-455A-9F71-7D937E2A36BF}" id="{AE67854C-21D8-49B5-809C-7037556DAB23}">
    <xltc:text>CRM_K26: Salesforce FY2026 10-K; annual statements FY2024-26. Published 2026-03-02. https://d18rn0p25nwr6d.cloudfront.net/CIK-0001108524/c44246da-3bfa-4f76-beb5-d9270f4e339f.html</xltc:text>
  </xltc:threadedComment>
  <xltc:threadedComment ref="E24" dT="2026-09-06T10:06:39.427" personId="{D6D16F69-3AF2-455A-9F71-7D937E2A36BF}" id="{F65BC646-52BA-41D9-88D5-3E122A3A3FD3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4" dT="2026-09-06T10:06:39.427" personId="{D6D16F69-3AF2-455A-9F71-7D937E2A36BF}" id="{EE46F084-0B02-4CBA-ADBD-257BC81CB29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25" dT="2026-09-06T10:06:39.427" personId="{D6D16F69-3AF2-455A-9F71-7D937E2A36BF}" id="{56EEAA4D-24BD-476C-8D22-38599E9D0631}">
    <xltc:text>CRM_K26: Salesforce FY2026 10-K; annual statements FY2024-26. Published 2026-03-02. https://d18rn0p25nwr6d.cloudfront.net/CIK-0001108524/c44246da-3bfa-4f76-beb5-d9270f4e339f.html</xltc:text>
  </xltc:threadedComment>
  <xltc:threadedComment ref="C25" dT="2026-09-06T10:06:39.427" personId="{D6D16F69-3AF2-455A-9F71-7D937E2A36BF}" id="{0C824BBB-8B4A-46F0-9D5C-A1C97057A49D}">
    <xltc:text>CRM_K26: Salesforce FY2026 10-K; annual statements FY2024-26. Published 2026-03-02. https://d18rn0p25nwr6d.cloudfront.net/CIK-0001108524/c44246da-3bfa-4f76-beb5-d9270f4e339f.html</xltc:text>
  </xltc:threadedComment>
  <xltc:threadedComment ref="D25" dT="2026-09-06T10:06:39.427" personId="{D6D16F69-3AF2-455A-9F71-7D937E2A36BF}" id="{C0FDBAA5-EE04-4325-8DD4-D2C76809E29A}">
    <xltc:text>CRM_K26: Salesforce FY2026 10-K; annual statements FY2024-26. Published 2026-03-02. https://d18rn0p25nwr6d.cloudfront.net/CIK-0001108524/c44246da-3bfa-4f76-beb5-d9270f4e339f.html</xltc:text>
  </xltc:threadedComment>
  <xltc:threadedComment ref="E25" dT="2026-09-06T10:06:39.428" personId="{D6D16F69-3AF2-455A-9F71-7D937E2A36BF}" id="{8887C90C-A29A-4F82-BBC8-9C4E0CFA6E33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F25" dT="2026-09-06T10:06:39.428" personId="{D6D16F69-3AF2-455A-9F71-7D937E2A36BF}" id="{47879032-2A98-4A45-9AA5-94606047D0F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4" dT="2026-09-06T10:06:39.44" personId="{D6D16F69-3AF2-455A-9F71-7D937E2A36BF}" id="{C5C00EE9-47E9-4E0F-997E-0B5D1943CA63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5" dT="2026-09-06T10:06:39.44" personId="{D6D16F69-3AF2-455A-9F71-7D937E2A36BF}" id="{E1CEB083-1B0D-4BB7-9E20-CDE4E6D51CD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6" dT="2026-09-06T10:06:39.44" personId="{D6D16F69-3AF2-455A-9F71-7D937E2A36BF}" id="{1C7984D1-84F9-41B7-9349-D62DEBD4434B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7" dT="2026-09-06T10:06:39.44" personId="{D6D16F69-3AF2-455A-9F71-7D937E2A36BF}" id="{19E932D6-AAE9-416C-81EB-566D3617A9B6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8" dT="2026-09-06T10:06:39.44" personId="{D6D16F69-3AF2-455A-9F71-7D937E2A36BF}" id="{73551C02-5ABC-4CE4-B46E-3BCDAE7DA8E6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39" dT="2026-09-06T10:06:39.441" personId="{D6D16F69-3AF2-455A-9F71-7D937E2A36BF}" id="{A2C86682-1F61-40EB-BF7F-44B707975A32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40" dT="2026-09-06T10:06:39.441" personId="{D6D16F69-3AF2-455A-9F71-7D937E2A36BF}" id="{1D138250-B1C8-489B-BF09-E4E903DDD24A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41" dT="2026-09-06T10:06:39.441" personId="{D6D16F69-3AF2-455A-9F71-7D937E2A36BF}" id="{80D59D07-9906-48F3-AEEF-9BAC7F4CB31A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B42" dT="2026-09-06T10:06:39.441" personId="{D6D16F69-3AF2-455A-9F71-7D937E2A36BF}" id="{CCF577C2-06B5-4968-BA21-C8093D4665B3}">
    <xltc:text>CRM_Q27: Salesforce Q2 FY2027 earnings release; H1 and balance sheet. Published 2026-08-26. https://investor.salesforce.com/news/news-details/2026/Salesforce-Delivers-Record-Second-Quarter-Fiscal-2027-Results/default.aspx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B18" dT="2026-09-06T10:06:39.465" personId="{D6D16F69-3AF2-455A-9F71-7D937E2A36BF}" id="{79FF8A57-A3F9-4975-B086-B51D24D50302}">
    <xltc:text>Assumption: NCI income immaterial in forecasts; retained NCI included in EV and opening balance.</xltc:text>
  </xltc:threadedComment>
  <xltc:threadedComment ref="C18" dT="2026-09-06T10:06:39.468" personId="{D6D16F69-3AF2-455A-9F71-7D937E2A36BF}" id="{54449DA9-076A-49AB-B6D0-98BB4CC95D1E}">
    <xltc:text>Assumption: NCI income immaterial in forecasts; retained NCI included in EV and opening balance.</xltc:text>
  </xltc:threadedComment>
  <xltc:threadedComment ref="D18" dT="2026-09-06T10:06:39.47" personId="{D6D16F69-3AF2-455A-9F71-7D937E2A36BF}" id="{1D37B462-4D3D-4D23-AA8E-7D5EDA955D73}">
    <xltc:text>Assumption: NCI income immaterial in forecasts; retained NCI included in EV and opening balance.</xltc:text>
  </xltc:threadedComment>
  <xltc:threadedComment ref="E18" dT="2026-09-06T10:06:39.473" personId="{D6D16F69-3AF2-455A-9F71-7D937E2A36BF}" id="{906BDE3D-5ADE-4E96-81E7-E95AC8788DE2}">
    <xltc:text>Assumption: NCI income immaterial in forecasts; retained NCI included in EV and opening balance.</xltc:text>
  </xltc:threadedComment>
  <xltc:threadedComment ref="F18" dT="2026-09-06T10:06:39.475" personId="{D6D16F69-3AF2-455A-9F71-7D937E2A36BF}" id="{F137322D-BC91-47BA-8041-58F171B91536}">
    <xltc:text>Assumption: NCI income immaterial in forecasts; retained NCI included in EV and opening balance.</xltc:text>
  </xltc:threadedComment>
  <xltc:threadedComment ref="G18" dT="2026-09-06T10:06:39.478" personId="{D6D16F69-3AF2-455A-9F71-7D937E2A36BF}" id="{2087096A-408E-4D1B-B7F9-F307270C0123}">
    <xltc:text>Assumption: NCI income immaterial in forecasts; retained NCI included in EV and opening balance.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B5" dT="2026-09-06T10:06:39.442" personId="{D6D16F69-3AF2-455A-9F71-7D937E2A36BF}" id="{923F6FF8-6684-43F5-AE69-9EF63DBF5C0C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5" dT="2026-09-06T10:06:39.442" personId="{D6D16F69-3AF2-455A-9F71-7D937E2A36BF}" id="{AB9C3A42-DD47-4881-8D02-8071B3BFECD9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5" dT="2026-09-06T10:06:39.442" personId="{D6D16F69-3AF2-455A-9F71-7D937E2A36BF}" id="{66EC517C-9414-4373-AF0A-05DE9835CFA8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5" dT="2026-09-06T10:06:39.442" personId="{D6D16F69-3AF2-455A-9F71-7D937E2A36BF}" id="{C66D0CCA-2354-4956-88A5-8CAECA924F8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5" dT="2026-09-06T10:06:39.442" personId="{D6D16F69-3AF2-455A-9F71-7D937E2A36BF}" id="{934A5F55-EEC3-4B7E-B279-AC8ABA6485C8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6" dT="2026-09-06T10:06:39.442" personId="{D6D16F69-3AF2-455A-9F71-7D937E2A36BF}" id="{E43DA09D-D4F4-424D-A29F-BBD551E7884F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6" dT="2026-09-06T10:06:39.442" personId="{D6D16F69-3AF2-455A-9F71-7D937E2A36BF}" id="{3CC9BC11-25FE-4CB6-96F2-38D1BA23B6B0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6" dT="2026-09-06T10:06:39.442" personId="{D6D16F69-3AF2-455A-9F71-7D937E2A36BF}" id="{BDF6D916-2ACB-45F0-82F9-C498743ED9F4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6" dT="2026-09-06T10:06:39.442" personId="{D6D16F69-3AF2-455A-9F71-7D937E2A36BF}" id="{98DC459B-AA0F-4C9E-BB14-FA787B78D16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6" dT="2026-09-06T10:06:39.442" personId="{D6D16F69-3AF2-455A-9F71-7D937E2A36BF}" id="{3E14AC51-5E84-4BE9-BB8C-F708A3C97B41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8" dT="2026-09-06T10:06:39.443" personId="{D6D16F69-3AF2-455A-9F71-7D937E2A36BF}" id="{5EB06682-25BC-43D6-91CB-672E166754C9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8" dT="2026-09-06T10:06:39.443" personId="{D6D16F69-3AF2-455A-9F71-7D937E2A36BF}" id="{DC800BB3-4869-434F-AC2F-F7A2C2A85A3D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8" dT="2026-09-06T10:06:39.443" personId="{D6D16F69-3AF2-455A-9F71-7D937E2A36BF}" id="{FB8EFF89-F692-415A-84C6-1A2414541414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8" dT="2026-09-06T10:06:39.443" personId="{D6D16F69-3AF2-455A-9F71-7D937E2A36BF}" id="{9B01D0BA-3874-402B-86B2-45541D919C64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8" dT="2026-09-06T10:06:39.443" personId="{D6D16F69-3AF2-455A-9F71-7D937E2A36BF}" id="{806361F9-C335-48A8-AE21-A3577329209C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9" dT="2026-09-06T10:06:39.443" personId="{D6D16F69-3AF2-455A-9F71-7D937E2A36BF}" id="{910DB657-843C-4BD9-8B30-D85F8D59EE1C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9" dT="2026-09-06T10:06:39.443" personId="{D6D16F69-3AF2-455A-9F71-7D937E2A36BF}" id="{DD78D89D-60C3-4C3D-AD64-2349485CDBA8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9" dT="2026-09-06T10:06:39.443" personId="{D6D16F69-3AF2-455A-9F71-7D937E2A36BF}" id="{A59448DA-2808-4DE1-9A50-C3841CE6789A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9" dT="2026-09-06T10:06:39.443" personId="{D6D16F69-3AF2-455A-9F71-7D937E2A36BF}" id="{A981D01C-0626-4D2D-A188-FA6515C7EE9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9" dT="2026-09-06T10:06:39.443" personId="{D6D16F69-3AF2-455A-9F71-7D937E2A36BF}" id="{2408A6E6-DAE5-471F-88D1-88CF0D5CDFF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0" dT="2026-09-06T10:06:39.443" personId="{D6D16F69-3AF2-455A-9F71-7D937E2A36BF}" id="{2DA1A161-2A59-420A-8568-A32616C6D76F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0" dT="2026-09-06T10:06:39.443" personId="{D6D16F69-3AF2-455A-9F71-7D937E2A36BF}" id="{C7CA9BFA-8F1E-45B1-B38B-B7325CF61272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0" dT="2026-09-06T10:06:39.443" personId="{D6D16F69-3AF2-455A-9F71-7D937E2A36BF}" id="{205BC750-1B0B-48B7-B8A5-154FB1601AC3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0" dT="2026-09-06T10:06:39.443" personId="{D6D16F69-3AF2-455A-9F71-7D937E2A36BF}" id="{22F4AF34-EA96-4707-BA79-C2BA62ED916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0" dT="2026-09-06T10:06:39.443" personId="{D6D16F69-3AF2-455A-9F71-7D937E2A36BF}" id="{24534391-0FA4-409A-B5C4-480CFEB6BE6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1" dT="2026-09-06T10:06:39.443" personId="{D6D16F69-3AF2-455A-9F71-7D937E2A36BF}" id="{E4CD1177-7815-442A-8CF7-930579563F31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1" dT="2026-09-06T10:06:39.443" personId="{D6D16F69-3AF2-455A-9F71-7D937E2A36BF}" id="{41D12A70-D200-404E-9CEE-E8C9999B7C51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1" dT="2026-09-06T10:06:39.443" personId="{D6D16F69-3AF2-455A-9F71-7D937E2A36BF}" id="{F2E17AE7-815D-4EE9-96FE-DCC10935CF6C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1" dT="2026-09-06T10:06:39.443" personId="{D6D16F69-3AF2-455A-9F71-7D937E2A36BF}" id="{D42FCA50-CC35-45FD-91FC-FE11605883C0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1" dT="2026-09-06T10:06:39.443" personId="{D6D16F69-3AF2-455A-9F71-7D937E2A36BF}" id="{4AF33887-B36C-40D8-8349-26903FD3838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3" dT="2026-09-06T10:06:39.443" personId="{D6D16F69-3AF2-455A-9F71-7D937E2A36BF}" id="{B16B799C-5516-4E71-892E-0836A13C6E0D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3" dT="2026-09-06T10:06:39.443" personId="{D6D16F69-3AF2-455A-9F71-7D937E2A36BF}" id="{A43D836B-6F7B-4B0E-B52E-CFBD0FFB0CC7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3" dT="2026-09-06T10:06:39.443" personId="{D6D16F69-3AF2-455A-9F71-7D937E2A36BF}" id="{72F67BC0-9C7E-41CC-8AD4-3BA1E6630FCF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3" dT="2026-09-06T10:06:39.443" personId="{D6D16F69-3AF2-455A-9F71-7D937E2A36BF}" id="{72996A01-A272-4466-87E6-EA4EA2493692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3" dT="2026-09-06T10:06:39.443" personId="{D6D16F69-3AF2-455A-9F71-7D937E2A36BF}" id="{E8A97DC3-5F4A-41A1-8F26-E127090E570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4" dT="2026-09-06T10:06:39.443" personId="{D6D16F69-3AF2-455A-9F71-7D937E2A36BF}" id="{375BF476-AC24-4148-80D5-2E03BD618335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4" dT="2026-09-06T10:06:39.443" personId="{D6D16F69-3AF2-455A-9F71-7D937E2A36BF}" id="{BFB759AF-FFC7-4DC7-AECC-BB2D3A33010A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4" dT="2026-09-06T10:06:39.444" personId="{D6D16F69-3AF2-455A-9F71-7D937E2A36BF}" id="{0138E8D6-D981-44C6-81FF-35921D5C7758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4" dT="2026-09-06T10:06:39.444" personId="{D6D16F69-3AF2-455A-9F71-7D937E2A36BF}" id="{E3553EEA-AD2E-4BA0-A5F3-22098CB5C246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4" dT="2026-09-06T10:06:39.444" personId="{D6D16F69-3AF2-455A-9F71-7D937E2A36BF}" id="{44E8AB00-A7BE-46C0-96E7-890C36EF2548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6" dT="2026-09-06T10:06:39.444" personId="{D6D16F69-3AF2-455A-9F71-7D937E2A36BF}" id="{BDE58C8D-0655-4A98-B066-6F93BC79B71E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6" dT="2026-09-06T10:06:39.444" personId="{D6D16F69-3AF2-455A-9F71-7D937E2A36BF}" id="{9994057B-BB13-4047-8D3F-9BA448EB4BE2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6" dT="2026-09-06T10:06:39.444" personId="{D6D16F69-3AF2-455A-9F71-7D937E2A36BF}" id="{06F73B89-1584-48C2-8255-241E7EB556F2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6" dT="2026-09-06T10:06:39.444" personId="{D6D16F69-3AF2-455A-9F71-7D937E2A36BF}" id="{B7CD4363-A93A-4A86-AAAE-4AD52AC7F72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6" dT="2026-09-06T10:06:39.444" personId="{D6D16F69-3AF2-455A-9F71-7D937E2A36BF}" id="{E217C264-993B-4CDF-812A-3680C4EFC7D0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18" dT="2026-09-06T10:06:39.444" personId="{D6D16F69-3AF2-455A-9F71-7D937E2A36BF}" id="{2CD7ED61-25A2-4D64-A3F8-0017E598311D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18" dT="2026-09-06T10:06:39.444" personId="{D6D16F69-3AF2-455A-9F71-7D937E2A36BF}" id="{B86B4348-D3B4-45FF-99BB-D29236551B31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18" dT="2026-09-06T10:06:39.444" personId="{D6D16F69-3AF2-455A-9F71-7D937E2A36BF}" id="{A003C487-C4FF-4C21-B492-80F846FD6464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18" dT="2026-09-06T10:06:39.444" personId="{D6D16F69-3AF2-455A-9F71-7D937E2A36BF}" id="{CAE53190-4076-49AE-BC38-C098D8E62454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18" dT="2026-09-06T10:06:39.444" personId="{D6D16F69-3AF2-455A-9F71-7D937E2A36BF}" id="{6CA7965F-526D-4D3A-B0A8-068668B836A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0" dT="2026-09-06T10:06:39.444" personId="{D6D16F69-3AF2-455A-9F71-7D937E2A36BF}" id="{74BCEF8E-3FED-470C-90CA-CA706D9B2EA8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0" dT="2026-09-06T10:06:39.444" personId="{D6D16F69-3AF2-455A-9F71-7D937E2A36BF}" id="{4B3C1EE5-8D3B-48AD-842D-D563312E0335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0" dT="2026-09-06T10:06:39.444" personId="{D6D16F69-3AF2-455A-9F71-7D937E2A36BF}" id="{A142E975-1482-4677-9044-1F5D90B69989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0" dT="2026-09-06T10:06:39.444" personId="{D6D16F69-3AF2-455A-9F71-7D937E2A36BF}" id="{0A07D010-8CC4-4880-B2AB-5012E2F0F5B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0" dT="2026-09-06T10:06:39.444" personId="{D6D16F69-3AF2-455A-9F71-7D937E2A36BF}" id="{B3715DE4-34E8-4A3C-B1BB-1DF87477D99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1" dT="2026-09-06T10:06:39.444" personId="{D6D16F69-3AF2-455A-9F71-7D937E2A36BF}" id="{0AD0CD66-AC39-4129-9EEC-28E010D25F81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1" dT="2026-09-06T10:06:39.444" personId="{D6D16F69-3AF2-455A-9F71-7D937E2A36BF}" id="{8BA4BFBA-F62B-4FDB-8D57-E20670945B1F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1" dT="2026-09-06T10:06:39.444" personId="{D6D16F69-3AF2-455A-9F71-7D937E2A36BF}" id="{987677C1-B154-49D9-84BE-A91518A39831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1" dT="2026-09-06T10:06:39.445" personId="{D6D16F69-3AF2-455A-9F71-7D937E2A36BF}" id="{689312EA-3A0D-4D38-A3C3-41BF3E4A430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1" dT="2026-09-06T10:06:39.445" personId="{D6D16F69-3AF2-455A-9F71-7D937E2A36BF}" id="{03295697-93FE-47E1-8E92-065F0730062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2" dT="2026-09-06T10:06:39.445" personId="{D6D16F69-3AF2-455A-9F71-7D937E2A36BF}" id="{045B24FE-B49C-4A5B-9459-323D51FC03AE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2" dT="2026-09-06T10:06:39.445" personId="{D6D16F69-3AF2-455A-9F71-7D937E2A36BF}" id="{11D88E96-1FB3-4730-B2DB-4095F4E36B97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2" dT="2026-09-06T10:06:39.445" personId="{D6D16F69-3AF2-455A-9F71-7D937E2A36BF}" id="{2407D837-C15B-4232-BE7F-07147CAB1973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2" dT="2026-09-06T10:06:39.445" personId="{D6D16F69-3AF2-455A-9F71-7D937E2A36BF}" id="{E1525AFA-5352-4658-B07F-85591ACD85E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2" dT="2026-09-06T10:06:39.445" personId="{D6D16F69-3AF2-455A-9F71-7D937E2A36BF}" id="{740A74C9-1BA2-4E27-8038-30B82B817BD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3" dT="2026-09-06T10:06:39.445" personId="{D6D16F69-3AF2-455A-9F71-7D937E2A36BF}" id="{CC0695D1-7E3A-49A9-9E42-1062C87C0883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3" dT="2026-09-06T10:06:39.445" personId="{D6D16F69-3AF2-455A-9F71-7D937E2A36BF}" id="{C3488022-5FE5-4AF9-8DAF-4BEFA716983F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3" dT="2026-09-06T10:06:39.445" personId="{D6D16F69-3AF2-455A-9F71-7D937E2A36BF}" id="{9D23611F-782C-489A-9180-0C950DC18EDD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3" dT="2026-09-06T10:06:39.445" personId="{D6D16F69-3AF2-455A-9F71-7D937E2A36BF}" id="{3C00AE8B-6667-4F10-90D9-EF2F2F63722C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3" dT="2026-09-06T10:06:39.445" personId="{D6D16F69-3AF2-455A-9F71-7D937E2A36BF}" id="{52CB0406-DBBD-4753-A7E0-98B7150DC069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4" dT="2026-09-06T10:06:39.445" personId="{D6D16F69-3AF2-455A-9F71-7D937E2A36BF}" id="{8D1C1C76-F00E-449D-B9F5-C2A4862B6F51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4" dT="2026-09-06T10:06:39.445" personId="{D6D16F69-3AF2-455A-9F71-7D937E2A36BF}" id="{F1BB50CB-965A-4BB3-AF73-48E848EB3A8C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4" dT="2026-09-06T10:06:39.445" personId="{D6D16F69-3AF2-455A-9F71-7D937E2A36BF}" id="{7F211DE9-313C-42FE-9B17-766ACDEC9B7E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4" dT="2026-09-06T10:06:39.445" personId="{D6D16F69-3AF2-455A-9F71-7D937E2A36BF}" id="{4F3A3E78-9835-4D11-A360-15D98A4E98D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4" dT="2026-09-06T10:06:39.445" personId="{D6D16F69-3AF2-455A-9F71-7D937E2A36BF}" id="{1F9A45C3-C28D-4A6A-8B74-8723A974BFC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25" dT="2026-09-06T10:06:39.445" personId="{D6D16F69-3AF2-455A-9F71-7D937E2A36BF}" id="{F19EE065-A830-4B2A-AE0D-74DF4882B61A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5" dT="2026-09-06T10:06:39.445" personId="{D6D16F69-3AF2-455A-9F71-7D937E2A36BF}" id="{2CB4E5B9-8F73-4C21-9E19-94B3BDC5A0C5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D25" dT="2026-09-06T10:06:39.447" personId="{D6D16F69-3AF2-455A-9F71-7D937E2A36BF}" id="{0DB9E54E-E0A4-4B25-9A1B-002AD8B200F9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E25" dT="2026-09-06T10:06:39.447" personId="{D6D16F69-3AF2-455A-9F71-7D937E2A36BF}" id="{6FF24E8C-CE3D-41D6-9068-79FD6B6FA1D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F25" dT="2026-09-06T10:06:39.447" personId="{D6D16F69-3AF2-455A-9F71-7D937E2A36BF}" id="{AACE1961-5A33-417D-8F0C-E52FCF9065D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4" dT="2026-09-06T10:06:39.46" personId="{D6D16F69-3AF2-455A-9F71-7D937E2A36BF}" id="{3D142AD2-9928-4F97-8C68-F31E19C0E950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5" dT="2026-09-06T10:06:39.46" personId="{D6D16F69-3AF2-455A-9F71-7D937E2A36BF}" id="{D120F857-50FA-4166-9786-4E6FB55D035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6" dT="2026-09-06T10:06:39.461" personId="{D6D16F69-3AF2-455A-9F71-7D937E2A36BF}" id="{7DABEE44-9D1D-4A29-AD7D-48E0E1D91A3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7" dT="2026-09-06T10:06:39.461" personId="{D6D16F69-3AF2-455A-9F71-7D937E2A36BF}" id="{2FE99A24-B14C-416A-B37D-DEC02BEBA486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8" dT="2026-09-06T10:06:39.461" personId="{D6D16F69-3AF2-455A-9F71-7D937E2A36BF}" id="{64CD8841-0DA0-4B3C-9276-51861F0B902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39" dT="2026-09-06T10:06:39.461" personId="{D6D16F69-3AF2-455A-9F71-7D937E2A36BF}" id="{84FC14F7-2319-48C7-B912-33D5C01C906D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40" dT="2026-09-06T10:06:39.461" personId="{D6D16F69-3AF2-455A-9F71-7D937E2A36BF}" id="{D194D301-81DE-457D-8D46-CD80A29CDCAF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41" dT="2026-09-06T10:06:39.461" personId="{D6D16F69-3AF2-455A-9F71-7D937E2A36BF}" id="{A6581968-F48A-439F-A6D9-29760A6C560A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B42" dT="2026-09-06T10:06:39.461" personId="{D6D16F69-3AF2-455A-9F71-7D937E2A36BF}" id="{346F25DA-3B90-4E19-86C0-F4F53A0EE52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B18" dT="2026-09-06T10:06:39.484" personId="{D6D16F69-3AF2-455A-9F71-7D937E2A36BF}" id="{B75E8A2E-1BDD-4452-9BD8-7B28F62AB1EC}">
    <xltc:text>Assumption: NCI income immaterial in forecasts; retained NCI included in EV and opening balance.</xltc:text>
  </xltc:threadedComment>
  <xltc:threadedComment ref="C18" dT="2026-09-06T10:06:39.486" personId="{D6D16F69-3AF2-455A-9F71-7D937E2A36BF}" id="{AD276793-E7BC-4573-AE9D-A7665934C032}">
    <xltc:text>Assumption: NCI income immaterial in forecasts; retained NCI included in EV and opening balance.</xltc:text>
  </xltc:threadedComment>
  <xltc:threadedComment ref="D18" dT="2026-09-06T10:06:39.489" personId="{D6D16F69-3AF2-455A-9F71-7D937E2A36BF}" id="{27E3B6AF-B61D-44A9-AE3E-55EDEC57F10B}">
    <xltc:text>Assumption: NCI income immaterial in forecasts; retained NCI included in EV and opening balance.</xltc:text>
  </xltc:threadedComment>
  <xltc:threadedComment ref="E18" dT="2026-09-06T10:06:39.49" personId="{D6D16F69-3AF2-455A-9F71-7D937E2A36BF}" id="{3FB8E86D-806D-46CD-98AC-BC5BE82EBA79}">
    <xltc:text>Assumption: NCI income immaterial in forecasts; retained NCI included in EV and opening balance.</xltc:text>
  </xltc:threadedComment>
  <xltc:threadedComment ref="F18" dT="2026-09-06T10:06:39.492" personId="{D6D16F69-3AF2-455A-9F71-7D937E2A36BF}" id="{4CFF08A9-5047-4488-AEB6-CB35B9623820}">
    <xltc:text>Assumption: NCI income immaterial in forecasts; retained NCI included in EV and opening balance.</xltc:text>
  </xltc:threadedComment>
  <xltc:threadedComment ref="G18" dT="2026-09-06T10:06:39.496" personId="{D6D16F69-3AF2-455A-9F71-7D937E2A36BF}" id="{624FF196-6E2C-466F-B590-0C673C7A02CB}">
    <xltc:text>Assumption: NCI income immaterial in forecasts; retained NCI included in EV and opening balance.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B5" dT="2026-09-06T10:06:39.541" personId="{D6D16F69-3AF2-455A-9F71-7D937E2A36BF}" id="{D44629B2-0FEF-408C-BB78-CA744C659CBE}">
    <xltc:text>TEAM_P: TEAM historical close, 4 September 2026. Published 2026-09-04. https://investors.atlassian.com/stock-information/default.aspx</xltc:text>
  </xltc:threadedComment>
  <xltc:threadedComment ref="C5" dT="2026-09-06T10:06:39.541" personId="{D6D16F69-3AF2-455A-9F71-7D937E2A36BF}" id="{667F0D04-7FF4-4A65-B166-FA9F0A82C1FF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E5" dT="2026-09-06T10:06:39.541" personId="{D6D16F69-3AF2-455A-9F71-7D937E2A36BF}" id="{EAA11866-9DE7-4247-9CF7-EF6B0D63E451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F5" dT="2026-09-06T10:06:39.541" personId="{D6D16F69-3AF2-455A-9F71-7D937E2A36BF}" id="{6C84805B-0CF4-41B2-A2BB-7486BD4E749E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B15" dT="2026-09-06T10:06:39.541" personId="{D6D16F69-3AF2-455A-9F71-7D937E2A36BF}" id="{C187F38C-C6D3-447D-9EB4-6FD3FB8815CB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C15" dT="2026-09-06T10:06:39.541" personId="{D6D16F69-3AF2-455A-9F71-7D937E2A36BF}" id="{83283212-BBAA-4384-94E8-380B8E78DB4D}">
    <xltc:text>Assumption: forward growth; Atlassian equals FY27 guidance, others are analyst forecasts.</xltc:text>
  </xltc:threadedComment>
  <xltc:threadedComment ref="D15" dT="2026-09-06T10:06:39.542" personId="{D6D16F69-3AF2-455A-9F71-7D937E2A36BF}" id="{97984903-8246-440E-B6F1-8AAF8BF8FA43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E15" dT="2026-09-06T10:06:39.542" personId="{D6D16F69-3AF2-455A-9F71-7D937E2A36BF}" id="{63508DA9-6C7B-46BD-A3B5-229505E1B8A5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F15" dT="2026-09-06T10:06:39.542" personId="{D6D16F69-3AF2-455A-9F71-7D937E2A36BF}" id="{510E9AE8-45D2-4119-899F-4CCB9E78B695}">
    <xltc:text>TEAM_Q: Atlassian FY2026 results; June year end and FY2027 guidance. Published 2026-08-06. https://investors.atlassian.com/news/news-details/2026/Atlassian-Announces-Fourth-Quarter-and-Fiscal-Year-2026-Results/default.aspx</xltc:text>
  </xltc:threadedComment>
  <xltc:threadedComment ref="B6" dT="2026-09-06T10:06:39.542" personId="{D6D16F69-3AF2-455A-9F71-7D937E2A36BF}" id="{57E03DA8-6DFE-42B9-936E-29B1768A7688}">
    <xltc:text>DDOG_P: DDOG historical close, 4 September 2026. Published 2026-09-04. https://finance.yahoo.com/quote/DDOG/history/</xltc:text>
  </xltc:threadedComment>
  <xltc:threadedComment ref="C6" dT="2026-09-06T10:06:39.542" personId="{D6D16F69-3AF2-455A-9F71-7D937E2A36BF}" id="{FC156891-B532-457A-B191-152495E4A0F4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E6" dT="2026-09-06T10:06:39.542" personId="{D6D16F69-3AF2-455A-9F71-7D937E2A36BF}" id="{8CD8635C-3AC8-437D-BA77-7975D9662381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F6" dT="2026-09-06T10:06:39.542" personId="{D6D16F69-3AF2-455A-9F71-7D937E2A36BF}" id="{9163A39B-3ECB-4918-896E-BD1382517AC5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B16" dT="2026-09-06T10:06:39.542" personId="{D6D16F69-3AF2-455A-9F71-7D937E2A36BF}" id="{8DCC0CBF-2B09-4216-9CE6-1167F15206F2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C16" dT="2026-09-06T10:06:39.542" personId="{D6D16F69-3AF2-455A-9F71-7D937E2A36BF}" id="{1DBCABEA-4014-424E-B64B-F62E52D365C9}">
    <xltc:text>Assumption: forward growth; Atlassian equals FY27 guidance, others are analyst forecasts.</xltc:text>
  </xltc:threadedComment>
  <xltc:threadedComment ref="D16" dT="2026-09-06T10:06:39.542" personId="{D6D16F69-3AF2-455A-9F71-7D937E2A36BF}" id="{C06B0EE8-E726-4900-9269-3981A2D4BD10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E16" dT="2026-09-06T10:06:39.542" personId="{D6D16F69-3AF2-455A-9F71-7D937E2A36BF}" id="{CA6A560F-94BE-4756-B249-44BC02180B37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F16" dT="2026-09-06T10:06:39.542" personId="{D6D16F69-3AF2-455A-9F71-7D937E2A36BF}" id="{3A7B4C47-DC09-4A5D-AFAC-4B7C921F7940}">
    <xltc:text>DDOG_Q: Datadog Q2 CY2026 results; June balance sheet and guidance. Published 2026-08-06. https://investors.datadoghq.com/news-releases/news-release-details/datadog-announces-second-quarter-2026-financial-results</xltc:text>
  </xltc:threadedComment>
  <xltc:threadedComment ref="B7" dT="2026-09-06T10:06:39.543" personId="{D6D16F69-3AF2-455A-9F71-7D937E2A36BF}" id="{0B523945-7773-46D0-A5CF-0E64A6B1CBE5}">
    <xltc:text>FROG_P: FROG historical close, 4 September 2026. Published 2026-09-04. https://investors.jfrog.com/stock-info/stock-quote/default.aspx</xltc:text>
  </xltc:threadedComment>
  <xltc:threadedComment ref="C7" dT="2026-09-06T10:06:39.543" personId="{D6D16F69-3AF2-455A-9F71-7D937E2A36BF}" id="{227D4476-1B2F-49A9-9E5A-ABEB01F88D85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E7" dT="2026-09-06T10:06:39.543" personId="{D6D16F69-3AF2-455A-9F71-7D937E2A36BF}" id="{2E2D9CDF-A7AC-4B95-BBA7-31D6C3AF7F2D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F7" dT="2026-09-06T10:06:39.543" personId="{D6D16F69-3AF2-455A-9F71-7D937E2A36BF}" id="{6DE101CC-6A92-4529-839E-DA1AD8271902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B17" dT="2026-09-06T10:06:39.543" personId="{D6D16F69-3AF2-455A-9F71-7D937E2A36BF}" id="{ED7E3AD7-66B6-4F97-BAA9-A7FC05580848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C17" dT="2026-09-06T10:06:39.543" personId="{D6D16F69-3AF2-455A-9F71-7D937E2A36BF}" id="{7F3A2713-2419-4DB1-BB01-806C907A4092}">
    <xltc:text>Assumption: forward growth; Atlassian equals FY27 guidance, others are analyst forecasts.</xltc:text>
  </xltc:threadedComment>
  <xltc:threadedComment ref="D17" dT="2026-09-06T10:06:39.543" personId="{D6D16F69-3AF2-455A-9F71-7D937E2A36BF}" id="{D9DC316C-8830-4895-AC64-FD0322F3760A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E17" dT="2026-09-06T10:06:39.543" personId="{D6D16F69-3AF2-455A-9F71-7D937E2A36BF}" id="{1F46C595-0486-4F9C-B4E6-3FA8F5219B8E}">
    <xltc:text>FROG_Q: JFrog Q2 CY2026 results; June balance sheet and guidance. Published 2026-08-06. https://investors.jfrog.com/news/news-details/2026/JFrog-Announces-Second-Quarter-2026-Results/default.aspx</xltc:text>
  </xltc:threadedComment>
  <xltc:threadedComment ref="F17" dT="2026-09-06T10:06:39.543" personId="{D6D16F69-3AF2-455A-9F71-7D937E2A36BF}" id="{7775AE9F-2B33-46A6-8B58-641355F07F15}">
    <xltc:text>FROG_Q: JFrog Q2 CY2026 results; June balance sheet and guidance. Published 2026-08-06. https://investors.jfrog.com/news/news-details/2026/JFrog-Announces-Second-Quarter-2026-Results/default.aspx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6" dT="2026-09-06T10:06:39.557" personId="{D6D16F69-3AF2-455A-9F71-7D937E2A36BF}" id="{061EEE32-85D7-4B29-A351-C124755B9B86}">
    <xltc:text>Assumption: sensitivity driver</xltc:text>
  </xltc:threadedComment>
  <xltc:threadedComment ref="A7" dT="2026-09-06T10:06:39.557" personId="{D6D16F69-3AF2-455A-9F71-7D937E2A36BF}" id="{162BA496-6009-4B6B-A272-ACC2C0B75E0D}">
    <xltc:text>Assumption: sensitivity driver</xltc:text>
  </xltc:threadedComment>
  <xltc:threadedComment ref="A8" dT="2026-09-06T10:06:39.557" personId="{D6D16F69-3AF2-455A-9F71-7D937E2A36BF}" id="{62849DCF-EF9E-40A0-91BF-EABC93D9ADA5}">
    <xltc:text>Assumption: sensitivity driver</xltc:text>
  </xltc:threadedComment>
  <xltc:threadedComment ref="A9" dT="2026-09-06T10:06:39.557" personId="{D6D16F69-3AF2-455A-9F71-7D937E2A36BF}" id="{EBA7319A-9EBE-4DA5-B164-B8CAA09C06B1}">
    <xltc:text>Assumption: sensitivity driver</xltc:text>
  </xltc:threadedComment>
  <xltc:threadedComment ref="A10" dT="2026-09-06T10:06:39.557" personId="{D6D16F69-3AF2-455A-9F71-7D937E2A36BF}" id="{E4CD13E8-2623-431B-B607-346087B6DE51}">
    <xltc:text>Assumption: sensitivity driver</xltc:text>
  </xltc:threadedComment>
  <xltc:threadedComment ref="B5" dT="2026-09-06T10:06:39.557" personId="{D6D16F69-3AF2-455A-9F71-7D937E2A36BF}" id="{430374FE-C377-41A2-9B18-6DAABF9103B8}">
    <xltc:text>Assumption: sensitivity driver, not forecast.</xltc:text>
  </xltc:threadedComment>
  <xltc:threadedComment ref="C5" dT="2026-09-06T10:06:39.557" personId="{D6D16F69-3AF2-455A-9F71-7D937E2A36BF}" id="{702AE0DD-6952-4A59-9845-BC3B4EEB5C5D}">
    <xltc:text>Assumption: sensitivity driver, not forecast.</xltc:text>
  </xltc:threadedComment>
  <xltc:threadedComment ref="D5" dT="2026-09-06T10:06:39.558" personId="{D6D16F69-3AF2-455A-9F71-7D937E2A36BF}" id="{4A76A5AC-7D97-4401-B806-CADBADDAD8D7}">
    <xltc:text>Assumption: sensitivity driver, not forecast.</xltc:text>
  </xltc:threadedComment>
  <xltc:threadedComment ref="E5" dT="2026-09-06T10:06:39.558" personId="{D6D16F69-3AF2-455A-9F71-7D937E2A36BF}" id="{4C298489-22D5-4518-BF6E-F8D754907CF8}">
    <xltc:text>Assumption: sensitivity driver, not forecast.</xltc:text>
  </xltc:threadedComment>
  <xltc:threadedComment ref="F5" dT="2026-09-06T10:06:39.558" personId="{D6D16F69-3AF2-455A-9F71-7D937E2A36BF}" id="{B2E9F8DE-384B-449F-B440-9CCE92B3D5E3}">
    <xltc:text>Assumption: sensitivity driver, not forecast.</xltc:text>
  </xltc:threadedComment>
  <xltc:threadedComment ref="B15" dT="2026-09-06T10:06:39.588" personId="{D6D16F69-3AF2-455A-9F71-7D937E2A36BF}" id="{B56B86C2-A452-4D42-9AD0-35942EFA879C}">
    <xltc:text>Assumption: financing scenario</xltc:text>
  </xltc:threadedComment>
  <xltc:threadedComment ref="C15" dT="2026-09-06T10:06:39.589" personId="{D6D16F69-3AF2-455A-9F71-7D937E2A36BF}" id="{AB97A931-14C8-4F59-86CE-4CA48FC90EF5}">
    <xltc:text>Assumption: financing scenario</xltc:text>
  </xltc:threadedComment>
  <xltc:threadedComment ref="D15" dT="2026-09-06T10:06:39.589" personId="{D6D16F69-3AF2-455A-9F71-7D937E2A36BF}" id="{A210CD5F-E9D8-4DC4-9525-9E5F5249574A}">
    <xltc:text>Assumption: financing scenario</xltc:text>
  </xltc:threadedComment>
  <xltc:threadedComment ref="B16" dT="2026-09-06T10:06:39.59" personId="{D6D16F69-3AF2-455A-9F71-7D937E2A36BF}" id="{02AF20CA-6CEF-44AD-83C6-3E22DB9968EB}">
    <xltc:text>Assumption: financing scenario</xltc:text>
  </xltc:threadedComment>
  <xltc:threadedComment ref="C16" dT="2026-09-06T10:06:39.59" personId="{D6D16F69-3AF2-455A-9F71-7D937E2A36BF}" id="{9CF24492-3F8C-47CA-B9B7-82C7A7713924}">
    <xltc:text>Assumption: financing scenario</xltc:text>
  </xltc:threadedComment>
  <xltc:threadedComment ref="D16" dT="2026-09-06T10:06:39.59" personId="{D6D16F69-3AF2-455A-9F71-7D937E2A36BF}" id="{7A78003D-3DB6-4FBD-8432-1F592B7ACDC2}">
    <xltc:text>Assumption: financing scenario</xltc:text>
  </xltc:threadedComment>
  <xltc:threadedComment ref="B17" dT="2026-09-06T10:06:39.591" personId="{D6D16F69-3AF2-455A-9F71-7D937E2A36BF}" id="{E1EC8616-5AEA-462A-A45D-CB9A3ED1CC61}">
    <xltc:text>Assumption: financing scenario</xltc:text>
  </xltc:threadedComment>
  <xltc:threadedComment ref="C17" dT="2026-09-06T10:06:39.591" personId="{D6D16F69-3AF2-455A-9F71-7D937E2A36BF}" id="{11DFF6F3-F8E8-44FB-910C-A0582ADA5D9F}">
    <xltc:text>Assumption: financing scenario</xltc:text>
  </xltc:threadedComment>
  <xltc:threadedComment ref="D17" dT="2026-09-06T10:06:39.591" personId="{D6D16F69-3AF2-455A-9F71-7D937E2A36BF}" id="{1A735A08-7BFB-4886-8CCB-355EF5FDDCD3}">
    <xltc:text>Assumption: financing scenario</xltc:text>
  </xltc:threadedComment>
  <xltc:threadedComment ref="B18" dT="2026-09-06T10:06:39.592" personId="{D6D16F69-3AF2-455A-9F71-7D937E2A36BF}" id="{FA1B1FBE-0002-402A-91CD-77CDAFC5228C}">
    <xltc:text>Assumption: financing scenario</xltc:text>
  </xltc:threadedComment>
  <xltc:threadedComment ref="C18" dT="2026-09-06T10:06:39.592" personId="{D6D16F69-3AF2-455A-9F71-7D937E2A36BF}" id="{40F5B655-1B89-4E19-999A-FDE59DF33E2B}">
    <xltc:text>Assumption: financing scenario</xltc:text>
  </xltc:threadedComment>
  <xltc:threadedComment ref="D18" dT="2026-09-06T10:06:39.592" personId="{D6D16F69-3AF2-455A-9F71-7D937E2A36BF}" id="{DAE41D2F-B773-41DD-A1BB-213967422DFD}">
    <xltc:text>Assumption: financing scenario</xltc:text>
  </xltc:threadedComment>
  <xltc:threadedComment ref="B19" dT="2026-09-06T10:06:39.593" personId="{D6D16F69-3AF2-455A-9F71-7D937E2A36BF}" id="{6D5C39EA-48A3-4E29-8B06-05E8F01E5374}">
    <xltc:text>Assumption: financing scenario</xltc:text>
  </xltc:threadedComment>
  <xltc:threadedComment ref="C19" dT="2026-09-06T10:06:39.593" personId="{D6D16F69-3AF2-455A-9F71-7D937E2A36BF}" id="{C9C4BFC5-CA12-42CE-88F1-8EB92143432F}">
    <xltc:text>Assumption: financing scenario</xltc:text>
  </xltc:threadedComment>
  <xltc:threadedComment ref="D19" dT="2026-09-06T10:06:39.594" personId="{D6D16F69-3AF2-455A-9F71-7D937E2A36BF}" id="{63A23F48-15CC-47C4-A8F4-EC73CD7F65DB}">
    <xltc:text>Assumption: financing scenario</xltc:text>
  </xltc:threadedComment>
  <xltc:threadedComment ref="B20" dT="2026-09-06T10:06:39.594" personId="{D6D16F69-3AF2-455A-9F71-7D937E2A36BF}" id="{C1A5D1C0-1584-424D-B29D-5C2EAE87790C}">
    <xltc:text>Assumption: financing scenario</xltc:text>
  </xltc:threadedComment>
  <xltc:threadedComment ref="C20" dT="2026-09-06T10:06:39.594" personId="{D6D16F69-3AF2-455A-9F71-7D937E2A36BF}" id="{71B9A562-808E-45AE-9B39-E68101F5330C}">
    <xltc:text>Assumption: financing scenario</xltc:text>
  </xltc:threadedComment>
  <xltc:threadedComment ref="D20" dT="2026-09-06T10:06:39.594" personId="{D6D16F69-3AF2-455A-9F71-7D937E2A36BF}" id="{94D67257-46EC-4643-9DEB-7E819DD6BB16}">
    <xltc:text>Assumption: financing scenario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C5" dT="2026-09-06T10:06:39.548" personId="{D6D16F69-3AF2-455A-9F71-7D937E2A36BF}" id="{A5710658-EFA4-4CA9-80AF-67312C701B44}">
    <xltc:text>HCP_DEAL: IBM announces HashiCorp; EV explicitly net of cash. Published 2024-04-24. https://newsroom.ibm.com/2024-04-24-IBM-to-Acquire-HashiCorp-Inc-Creating-a-Comprehensive-End-to-End-Hybrid-Cloud-Platform</xltc:text>
  </xltc:threadedComment>
  <xltc:threadedComment ref="B15" dT="2026-09-06T10:06:39.548" personId="{D6D16F69-3AF2-455A-9F71-7D937E2A36BF}" id="{2E372EDB-4324-4663-B0D4-09E68B33E3C3}">
    <xltc:text>HCP_REV: HashiCorp FY2024 earnings release, available before announcement. Published 2024-03-05. https://www.globenewswire.com/news-release/2024/03/05/2840892/0/en/hashicorp-announces-fourth-quarter-and-fiscal-year-2024-financial-results.html</xltc:text>
  </xltc:threadedComment>
  <xltc:threadedComment ref="F5" dT="2026-09-06T10:06:39.548" personId="{D6D16F69-3AF2-455A-9F71-7D937E2A36BF}" id="{9C030081-A9BF-4E24-84AC-86F9F8880C03}">
    <xltc:text>HCP_DEAL: IBM announces HashiCorp; EV explicitly net of cash. Published 2024-04-24. https://newsroom.ibm.com/2024-04-24-IBM-to-Acquire-HashiCorp-Inc-Creating-a-Comprehensive-End-to-End-Hybrid-Cloud-Platform</xltc:text>
  </xltc:threadedComment>
  <xltc:threadedComment ref="C6" dT="2026-09-06T10:06:39.548" personId="{D6D16F69-3AF2-455A-9F71-7D937E2A36BF}" id="{63B76ED1-C7CD-4C84-AA1A-B3DB25173C25}">
    <xltc:text>NEWR_DEAL: New Relic acquisition announcement; equity value and premium basis. Published 2023-07-31. https://newrelic.com/press-release/20230731</xltc:text>
  </xltc:threadedComment>
  <xltc:threadedComment ref="F6" dT="2026-09-06T10:06:39.548" personId="{D6D16F69-3AF2-455A-9F71-7D937E2A36BF}" id="{D6309CFF-B44B-4ADC-B815-73F1084AA67B}">
    <xltc:text>NEWR_DEAL: New Relic acquisition announcement; equity value and premium basis. Published 2023-07-31. https://newrelic.com/press-release/20230731</xltc:text>
  </xltc:threadedComment>
  <xltc:threadedComment ref="C7" dT="2026-09-06T10:06:39.548" personId="{D6D16F69-3AF2-455A-9F71-7D937E2A36BF}" id="{5CAED859-1ECE-46F6-934C-A82831655DC6}">
    <xltc:text>SUMO_DEAL: Sumo Logic announcement; equity value and unaffected premium. Published 2023-02-09. https://www.franciscopartners.com/media/sumo-logic-to-be-acquired-by-francisco-partners-for-17-billion</xltc:text>
  </xltc:threadedComment>
  <xltc:threadedComment ref="F7" dT="2026-09-06T10:06:39.548" personId="{D6D16F69-3AF2-455A-9F71-7D937E2A36BF}" id="{9727020E-B2ED-4A5B-9A09-6407FACEAC3C}">
    <xltc:text>SUMO_DEAL: Sumo Logic announcement; equity value and unaffected premium. Published 2023-02-09. https://www.franciscopartners.com/media/sumo-logic-to-be-acquired-by-francisco-partners-for-17-billion</xltc:text>
  </xltc:threadedComment>
  <xltc:threadedComment ref="C8" dT="2026-09-06T10:06:39.552" personId="{D6D16F69-3AF2-455A-9F71-7D937E2A36BF}" id="{F617D297-C6B5-4D87-AE90-3D5D647951BA}">
    <xltc:text>GH_DEAL: Microsoft announces GitHub; stock consideration. Published 2018-06-04. https://news.microsoft.com/source/2018/06/04/microsoft-to-acquire-github-for-7-5-billion/</xltc:text>
  </xltc:threadedComment>
  <xltc:threadedComment ref="F8" dT="2026-09-06T10:06:39.552" personId="{D6D16F69-3AF2-455A-9F71-7D937E2A36BF}" id="{DFC5F922-859E-48D5-8231-60819BA0CE6D}">
    <xltc:text>GH_DEAL: Microsoft announces GitHub; stock consideration. Published 2018-06-04. https://news.microsoft.com/source/2018/06/04/microsoft-to-acquire-github-for-7-5-billion/</xltc:text>
  </xltc:threadedComment>
  <xltc:threadedComment ref="C9" dT="2026-09-06T10:06:39.552" personId="{D6D16F69-3AF2-455A-9F71-7D937E2A36BF}" id="{F411D527-EEA2-4266-A6F1-7C7DDA9A7953}">
    <xltc:text>APPD_DEAL: Cisco announces AppDynamics; cash and assumed equity awards. Published 2017-01-24. https://newsroom.cisco.com/press-release-content?articleId=1817404&amp;type=webcontent</xltc:text>
  </xltc:threadedComment>
  <xltc:threadedComment ref="F9" dT="2026-09-06T10:06:39.552" personId="{D6D16F69-3AF2-455A-9F71-7D937E2A36BF}" id="{CA5CE5BE-E8D1-461F-A44A-569AAFA2ECBF}">
    <xltc:text>APPD_DEAL: Cisco announces AppDynamics; cash and assumed equity awards. Published 2017-01-24. https://newsroom.cisco.com/press-release-content?articleId=1817404&amp;type=webcontent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C16" dT="2026-09-06T10:06:39.744" personId="{D6D16F69-3AF2-455A-9F71-7D937E2A36BF}" id="{D11182CB-F85E-45C1-B770-54502D20CD8B}">
    <xltc:text>CRM_K26: Salesforce FY2026 10-K; annual statements FY2024-26. Published 2026-03-02. https://d18rn0p25nwr6d.cloudfront.net/CIK-0001108524/c44246da-3bfa-4f76-beb5-d9270f4e339f.html</xltc:text>
  </xltc:threadedComment>
  <xltc:threadedComment ref="C17" dT="2026-09-06T10:06:39.744" personId="{D6D16F69-3AF2-455A-9F71-7D937E2A36BF}" id="{24C6E44F-1E4D-4132-A8D6-DF9F3AC1AA20}">
    <xltc:text>CRM_K26: Salesforce FY2026 10-K; annual statements FY2024-26. Published 2026-03-02. https://d18rn0p25nwr6d.cloudfront.net/CIK-0001108524/c44246da-3bfa-4f76-beb5-d9270f4e339f.html</xltc:text>
  </xltc:threadedComment>
  <xltc:threadedComment ref="C18" dT="2026-09-06T10:06:39.744" personId="{D6D16F69-3AF2-455A-9F71-7D937E2A36BF}" id="{31D46721-6C08-4A2A-BDBC-9AA10EDA1FF4}">
    <xltc:text>CRM_K26: Salesforce FY2026 10-K; annual statements FY2024-26. Published 2026-03-02. https://d18rn0p25nwr6d.cloudfront.net/CIK-0001108524/c44246da-3bfa-4f76-beb5-d9270f4e339f.html</xltc:text>
  </xltc:threadedComment>
  <xltc:threadedComment ref="C19" dT="2026-09-06T10:06:39.745" personId="{D6D16F69-3AF2-455A-9F71-7D937E2A36BF}" id="{0634A8F2-4A53-4E53-A2B5-2A01EDBD134A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C20" dT="2026-09-06T10:06:39.745" personId="{D6D16F69-3AF2-455A-9F71-7D937E2A36BF}" id="{2DED14EA-4F76-4422-BF53-F151C18C7BCF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C21" dT="2026-09-06T10:06:39.745" personId="{D6D16F69-3AF2-455A-9F71-7D937E2A36BF}" id="{552DC585-1A17-4C33-89DF-2E5B45684A90}">
    <xltc:text>CRM_K26: Salesforce FY2026 10-K; annual statements FY2024-26. Published 2026-03-02. https://d18rn0p25nwr6d.cloudfront.net/CIK-0001108524/c44246da-3bfa-4f76-beb5-d9270f4e339f.html</xltc:text>
  </xltc:threadedComment>
  <xltc:threadedComment ref="C22" dT="2026-09-06T10:06:39.746" personId="{D6D16F69-3AF2-455A-9F71-7D937E2A36BF}" id="{F542B98E-8AE4-4E5D-9AD9-30F3C2324485}">
    <xltc:text>CRM_K26: Salesforce FY2026 10-K; annual statements FY2024-26. Published 2026-03-02. https://d18rn0p25nwr6d.cloudfront.net/CIK-0001108524/c44246da-3bfa-4f76-beb5-d9270f4e339f.html</xltc:text>
  </xltc:threadedComment>
  <xltc:threadedComment ref="C23" dT="2026-09-06T10:06:39.746" personId="{D6D16F69-3AF2-455A-9F71-7D937E2A36BF}" id="{5A51409E-F86D-4092-A108-8A423A16A80D}">
    <xltc:text>CRM_K26: Salesforce FY2026 10-K; annual statements FY2024-26. Published 2026-03-02. https://d18rn0p25nwr6d.cloudfront.net/CIK-0001108524/c44246da-3bfa-4f76-beb5-d9270f4e339f.html</xltc:text>
  </xltc:threadedComment>
  <xltc:threadedComment ref="C24" dT="2026-09-06T10:06:39.746" personId="{D6D16F69-3AF2-455A-9F71-7D937E2A36BF}" id="{31F00BB7-EEF5-41C4-B94E-B5E6A7D958A9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C25" dT="2026-09-06T10:06:39.746" personId="{D6D16F69-3AF2-455A-9F71-7D937E2A36BF}" id="{A5FF10FD-FBEC-4A27-A34E-49E78B339627}">
    <xltc:text>CRM_Q27: Salesforce Q2 FY2027 earnings release; H1 and balance sheet. Published 2026-08-26. https://investor.salesforce.com/news/news-details/2026/Salesforce-Delivers-Record-Second-Quarter-Fiscal-2027-Results/default.aspx</xltc:text>
  </xltc:threadedComment>
  <xltc:threadedComment ref="C26" dT="2026-09-06T10:06:39.747" personId="{D6D16F69-3AF2-455A-9F71-7D937E2A36BF}" id="{42629F11-9711-45A4-84AE-332F3D0D86ED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27" dT="2026-09-06T10:06:39.747" personId="{D6D16F69-3AF2-455A-9F71-7D937E2A36BF}" id="{F007DC8B-45AB-41E6-873A-063C60E17575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28" dT="2026-09-06T10:06:39.747" personId="{D6D16F69-3AF2-455A-9F71-7D937E2A36BF}" id="{7FF124D9-F865-432D-9A58-6DAEC0A0985A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29" dT="2026-09-06T10:06:39.747" personId="{D6D16F69-3AF2-455A-9F71-7D937E2A36BF}" id="{53006D73-E1BD-438A-ACF3-02824E82D47E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C30" dT="2026-09-06T10:06:39.748" personId="{D6D16F69-3AF2-455A-9F71-7D937E2A36BF}" id="{4026F73D-CE0B-4759-A66F-506B3535741C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C31" dT="2026-09-06T10:06:39.748" personId="{D6D16F69-3AF2-455A-9F71-7D937E2A36BF}" id="{90CB8483-AFBA-4DD2-866E-5EAF6F651A7C}">
    <xltc:text>GTLB_F25: GitLab FY2025 release; FY2024 comparative only. Published 2025-03-03. https://ir.gitlab.com/news/news-details/2025/GitLab-Reports-Fourth-Quarter-and-Full-Fiscal-Year-2025-Financial-Results/default.aspx</xltc:text>
  </xltc:threadedComment>
  <xltc:threadedComment ref="C32" dT="2026-09-06T10:06:39.748" personId="{D6D16F69-3AF2-455A-9F71-7D937E2A36BF}" id="{54A8FBE1-FDA2-49CB-BB3C-65494765AA5D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33" dT="2026-09-06T10:06:39.748" personId="{D6D16F69-3AF2-455A-9F71-7D937E2A36BF}" id="{1F6D465B-A650-47DA-8776-294DE326B34C}">
    <xltc:text>GTLB_F26: GitLab FY2026 earnings release filed as SEC exhibit; FY2025 comparative. Published 2026-03-03. https://www.sec.gov/Archives/edgar/data/1653482/000162828026013795/gitlab-ex99120260131fy26.htm</xltc:text>
  </xltc:threadedComment>
  <xltc:threadedComment ref="C34" dT="2026-09-06T10:06:39.749" personId="{D6D16F69-3AF2-455A-9F71-7D937E2A36BF}" id="{C76BA2F1-50BB-4537-9F73-FB5F7F2203FB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  <xltc:threadedComment ref="C35" dT="2026-09-06T10:06:39.749" personId="{D6D16F69-3AF2-455A-9F71-7D937E2A36BF}" id="{D76C4297-B3E5-4182-A36A-44EB892D8153}">
    <xltc:text>GTLB_Q27: GitLab Q2 FY2027 earnings release; H1 statements and balance sheet. Published 2026-09-01. https://ir.gitlab.com/news/news-details/2026/GitLab-Reports-Second-Quarter-Fiscal-Year-2027-Financial-Results/default.aspx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6e6f36cade94980" /><Relationship Type="http://schemas.openxmlformats.org/officeDocument/2006/relationships/vmlDrawing" Target="/xl/drawings/vmldrawing.vml" Id="Rf80bf2c4b15b4ab4" /><Relationship Type="http://schemas.microsoft.com/office/2017/10/relationships/threadedComment" Target="/xl/threadedcomments/threadedcomment.xml" Id="Ree9e93b61a12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45b38b82651c4bdd" /><Relationship Type="http://schemas.openxmlformats.org/officeDocument/2006/relationships/vmlDrawing" Target="/xl/drawings/vmldrawing2.vml" Id="R02c43148730b41f1" /><Relationship Type="http://schemas.microsoft.com/office/2017/10/relationships/threadedComment" Target="/xl/threadedcomments/threadedcomment2.xml" Id="R0c90a672549940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6ab46779de2e4008" /><Relationship Type="http://schemas.openxmlformats.org/officeDocument/2006/relationships/vmlDrawing" Target="/xl/drawings/vmldrawing3.vml" Id="R62222e674bf846fe" /><Relationship Type="http://schemas.microsoft.com/office/2017/10/relationships/threadedComment" Target="/xl/threadedcomments/threadedcomment3.xml" Id="R9186c8fceeb542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a5e20ce839e746de" /><Relationship Type="http://schemas.openxmlformats.org/officeDocument/2006/relationships/vmlDrawing" Target="/xl/drawings/vmldrawing4.vml" Id="Rf544b08a4eee448c" /><Relationship Type="http://schemas.microsoft.com/office/2017/10/relationships/threadedComment" Target="/xl/threadedcomments/threadedcomment4.xml" Id="R4fa7d5031f4e48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fc441f374423444d" /><Relationship Type="http://schemas.openxmlformats.org/officeDocument/2006/relationships/vmlDrawing" Target="/xl/drawings/vmldrawing5.vml" Id="Rf42ea842c75d4545" /><Relationship Type="http://schemas.microsoft.com/office/2017/10/relationships/threadedComment" Target="/xl/threadedcomments/threadedcomment5.xml" Id="R2ded3c5aaaa942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279b92bc974045d7" /><Relationship Type="http://schemas.openxmlformats.org/officeDocument/2006/relationships/vmlDrawing" Target="/xl/drawings/vmldrawing6.vml" Id="R779e0c9122c841f1" /><Relationship Type="http://schemas.microsoft.com/office/2017/10/relationships/threadedComment" Target="/xl/threadedcomments/threadedcomment6.xml" Id="R8b8afee2c82f47a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7.xml" Id="Rb1035ccf61cc485a" /><Relationship Type="http://schemas.openxmlformats.org/officeDocument/2006/relationships/vmlDrawing" Target="/xl/drawings/vmldrawing7.vml" Id="R2e7baf9b1376427b" /><Relationship Type="http://schemas.microsoft.com/office/2017/10/relationships/threadedComment" Target="/xl/threadedcomments/threadedcomment7.xml" Id="R6884495c08e341f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28ee63210d9b4c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8.xml" Id="Re634ef73c700437d" /><Relationship Type="http://schemas.openxmlformats.org/officeDocument/2006/relationships/vmlDrawing" Target="/xl/drawings/vmldrawing8.vml" Id="Rda9cd90761e54e9f" /><Relationship Type="http://schemas.microsoft.com/office/2017/10/relationships/threadedComment" Target="/xl/threadedcomments/threadedcomment8.xml" Id="Rd697e8bd9d0241f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9.xml" Id="R0356c77f26234c17" /><Relationship Type="http://schemas.openxmlformats.org/officeDocument/2006/relationships/vmlDrawing" Target="/xl/drawings/vmldrawing9.vml" Id="R6996fcc5b9d142d7" /><Relationship Type="http://schemas.microsoft.com/office/2017/10/relationships/threadedComment" Target="/xl/threadedcomments/threadedcomment9.xml" Id="Rfcaa7147ded8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SALESFORCE / GITLAB | STRATEGIC COMBINATION ANALYSIS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" t="str">
        <x:v>Strategic combination analysis based on public information and transaction assumptions. No transaction is asserted to be under discussion.</x:v>
      </x:c>
      <x:c r="B4" s="89"/>
      <x:c r="C4" s="89"/>
      <x:c r="D4" s="89"/>
      <x:c r="E4" s="89"/>
      <x:c r="F4" s="89"/>
      <x:c r="G4" s="89"/>
    </x:row>
    <x:row r="5" ht="20" customHeight="1">
      <x:c r="A5" s="7"/>
      <x:c r="B5" s="81"/>
      <x:c r="C5" s="81"/>
      <x:c r="D5" s="81"/>
      <x:c r="E5" s="81"/>
      <x:c r="F5" s="81"/>
      <x:c r="G5" s="81"/>
    </x:row>
    <x:row r="6" ht="22" customHeight="1">
      <x:c r="A6" s="78"/>
      <x:c r="B6" s="82"/>
      <x:c r="C6" s="82"/>
      <x:c r="D6" s="82"/>
      <x:c r="E6" s="82"/>
      <x:c r="F6" s="82"/>
      <x:c r="G6" s="82"/>
    </x:row>
    <x:row r="7" ht="34" customHeight="1">
      <x:c r="A7" s="78" t="str">
        <x:v>Recommendation</x:v>
      </x:c>
      <x:c r="B7" s="179" t="str">
        <x:v>DO NOT ACQUIRE at modeled offer</x:v>
      </x:c>
      <x:c r="C7" s="151"/>
      <x:c r="D7" s="151"/>
      <x:c r="E7" s="151"/>
      <x:c r="F7" s="151"/>
      <x:c r="G7" s="151"/>
    </x:row>
    <x:row r="8" ht="22" customHeight="1">
      <x:c r="A8" s="78"/>
      <x:c r="B8" s="82"/>
      <x:c r="C8" s="82"/>
      <x:c r="D8" s="82"/>
      <x:c r="E8" s="82"/>
      <x:c r="F8" s="82"/>
      <x:c r="G8" s="82"/>
    </x:row>
    <x:row r="9" ht="22" customHeight="1">
      <x:c r="A9" s="78" t="str">
        <x:v>Proposed offer / share</x:v>
      </x:c>
      <x:c r="B9" s="192" t="n">
        <x:f>'15_Output'!B5</x:f>
        <x:v>62.287499999999994</x:v>
      </x:c>
      <x:c r="C9" s="82"/>
      <x:c r="D9" s="82"/>
      <x:c r="E9" s="82"/>
      <x:c r="F9" s="82"/>
      <x:c r="G9" s="82"/>
    </x:row>
    <x:row r="10" ht="22" customHeight="1">
      <x:c r="A10" s="78" t="str">
        <x:v>Year 1 recurring EPS impact</x:v>
      </x:c>
      <x:c r="B10" s="193" t="n">
        <x:f>'15_Output'!B9</x:f>
        <x:v>-0.09720414234789454</x:v>
      </x:c>
      <x:c r="C10" s="82"/>
      <x:c r="D10" s="82"/>
      <x:c r="E10" s="82"/>
      <x:c r="F10" s="82"/>
      <x:c r="G10" s="82"/>
    </x:row>
    <x:row r="11" ht="22" customHeight="1">
      <x:c r="A11" s="78" t="str">
        <x:v>Year 3 recurring EPS impact</x:v>
      </x:c>
      <x:c r="B11" s="193" t="n">
        <x:f>'15_Output'!B10</x:f>
        <x:v>-0.059314368176103804</x:v>
      </x:c>
      <x:c r="C11" s="82"/>
      <x:c r="D11" s="82"/>
      <x:c r="E11" s="82"/>
      <x:c r="F11" s="82"/>
      <x:c r="G11" s="82"/>
    </x:row>
    <x:row r="12" ht="22" customHeight="1">
      <x:c r="A12" s="78" t="str">
        <x:v>Economic price ceiling</x:v>
      </x:c>
      <x:c r="B12" s="192" t="n">
        <x:f>'15_Output'!B26</x:f>
        <x:v>24.025052025285138</x:v>
      </x:c>
      <x:c r="C12" s="82"/>
      <x:c r="D12" s="82"/>
      <x:c r="E12" s="82"/>
      <x:c r="F12" s="82"/>
      <x:c r="G12" s="82"/>
    </x:row>
    <x:row r="13" ht="22" customHeight="1">
      <x:c r="A13" s="78" t="str">
        <x:v>Arithmetic model errors</x:v>
      </x:c>
      <x:c r="B13" s="194" t="n">
        <x:f>'18_Checks'!B21</x:f>
        <x:v>0</x:v>
      </x:c>
      <x:c r="C13" s="82"/>
      <x:c r="D13" s="82"/>
      <x:c r="E13" s="82"/>
      <x:c r="F13" s="82"/>
      <x:c r="G13" s="82"/>
    </x:row>
    <x:row r="14" ht="22" customHeight="1">
      <x:c r="A14" s="78"/>
      <x:c r="B14" s="82"/>
      <x:c r="C14" s="82"/>
      <x:c r="D14" s="82"/>
      <x:c r="E14" s="82"/>
      <x:c r="F14" s="82"/>
      <x:c r="G14" s="82"/>
    </x:row>
    <x:row r="15" ht="22" customHeight="1">
      <x:c r="A15" s="78"/>
      <x:c r="B15" s="82"/>
      <x:c r="C15" s="82"/>
      <x:c r="D15" s="82"/>
      <x:c r="E15" s="82"/>
      <x:c r="F15" s="82"/>
      <x:c r="G15" s="82"/>
    </x:row>
    <x:row r="16" ht="20" customHeight="1">
      <x:c r="A16" s="7" t="str">
        <x:v>Edit blue inputs in 01_Assumptions. Green formulas link sheets; black formulas calculate locally. Historical / market hardcodes are also blue under the requested convention; sources identify their type.</x:v>
      </x:c>
      <x:c r="B16" s="81"/>
      <x:c r="C16" s="81"/>
      <x:c r="D16" s="81"/>
      <x:c r="E16" s="81"/>
      <x:c r="F16" s="81"/>
      <x:c r="G16" s="81"/>
    </x:row>
    <x:row r="17" ht="20" customHeight="1">
      <x:c r="A17" s="7"/>
      <x:c r="B17" s="81"/>
      <x:c r="C17" s="81"/>
      <x:c r="D17" s="81"/>
      <x:c r="E17" s="81"/>
      <x:c r="F17" s="81"/>
      <x:c r="G17" s="81"/>
    </x:row>
    <x:row r="18" ht="22" customHeight="1">
      <x:c r="A18" s="78"/>
      <x:c r="B18" s="82"/>
      <x:c r="C18" s="82"/>
      <x:c r="D18" s="82"/>
      <x:c r="E18" s="82"/>
      <x:c r="F18" s="82"/>
      <x:c r="G18" s="82"/>
    </x:row>
    <x:row r="19" ht="20" customHeight="1">
      <x:c r="A19" s="7" t="str">
        <x:v>Start with 15_Output, then 13_Accretion_Dilution and 14_Sensitivities. Sources and assumptions are documented throughout the model.</x:v>
      </x:c>
      <x:c r="B19" s="81"/>
      <x:c r="C19" s="81"/>
      <x:c r="D19" s="81"/>
      <x:c r="E19" s="81"/>
      <x:c r="F19" s="81"/>
      <x:c r="G19" s="81"/>
    </x:row>
    <x:row r="20" ht="20" customHeight="1">
      <x:c r="A20" s="7"/>
      <x:c r="B20" s="81"/>
      <x:c r="C20" s="81"/>
      <x:c r="D20" s="81"/>
      <x:c r="E20" s="81"/>
      <x:c r="F20" s="81"/>
      <x:c r="G20" s="81"/>
    </x:row>
    <x:row r="21" ht="22" customHeight="1">
      <x:c r="A21" s="78"/>
      <x:c r="B21" s="82"/>
      <x:c r="C21" s="82"/>
      <x:c r="D21" s="82"/>
      <x:c r="E21" s="82"/>
      <x:c r="F21" s="82"/>
      <x:c r="G21" s="82"/>
    </x:row>
    <x:row r="22" ht="22" customHeight="1">
      <x:c r="A22" s="78"/>
      <x:c r="B22" s="82"/>
      <x:c r="C22" s="82"/>
      <x:c r="D22" s="82"/>
      <x:c r="E22" s="82"/>
      <x:c r="F22" s="82"/>
      <x:c r="G22" s="82"/>
    </x:row>
    <x:row r="23" ht="22" customHeight="1">
      <x:c r="A23" s="191" t="str">
        <x:v>Fiscal year</x:v>
      </x:c>
      <x:c r="B23" s="190" t="str">
        <x:v>Recurring A/D</x:v>
      </x:c>
      <x:c r="C23" s="190" t="str">
        <x:v>All-in A/D</x:v>
      </x:c>
      <x:c r="D23" s="82"/>
      <x:c r="E23" s="82"/>
      <x:c r="F23" s="82"/>
      <x:c r="G23" s="82"/>
    </x:row>
    <x:row r="24" ht="22" customHeight="1">
      <x:c r="A24" s="78" t="str">
        <x:v>FY2028E</x:v>
      </x:c>
      <x:c r="B24" s="193" t="n">
        <x:f>'13_Accretion_Dilution'!B7</x:f>
        <x:v>-0.09720414234789454</x:v>
      </x:c>
      <x:c r="C24" s="193" t="n">
        <x:f>'13_Accretion_Dilution'!B10</x:f>
        <x:v>-0.11747704665863168</x:v>
      </x:c>
      <x:c r="D24" s="82"/>
      <x:c r="E24" s="82"/>
      <x:c r="F24" s="82"/>
      <x:c r="G24" s="82"/>
    </x:row>
    <x:row r="25" ht="22" customHeight="1">
      <x:c r="A25" s="78" t="str">
        <x:v>FY2029E</x:v>
      </x:c>
      <x:c r="B25" s="193" t="n">
        <x:f>'13_Accretion_Dilution'!C7</x:f>
        <x:v>-0.07563478010427271</x:v>
      </x:c>
      <x:c r="C25" s="193" t="n">
        <x:f>'13_Accretion_Dilution'!C10</x:f>
        <x:v>-0.07906624881062752</x:v>
      </x:c>
      <x:c r="D25" s="82"/>
      <x:c r="E25" s="82"/>
      <x:c r="F25" s="82"/>
      <x:c r="G25" s="82"/>
    </x:row>
    <x:row r="26" ht="22" customHeight="1">
      <x:c r="A26" s="78" t="str">
        <x:v>FY2030E</x:v>
      </x:c>
      <x:c r="B26" s="193" t="n">
        <x:f>'13_Accretion_Dilution'!D7</x:f>
        <x:v>-0.059314368176103804</x:v>
      </x:c>
      <x:c r="C26" s="193" t="n">
        <x:f>'13_Accretion_Dilution'!D10</x:f>
        <x:v>-0.059314368176103804</x:v>
      </x:c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4:G5"/>
    <x:mergeCell ref="B7:G7"/>
    <x:mergeCell ref="A16:G17"/>
    <x:mergeCell ref="A19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Assumptions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36" customHeight="1">
      <x:c r="A5" s="78" t="str">
        <x:v>GitLab reference share price</x:v>
      </x:c>
      <x:c r="B5" s="92" t="n">
        <x:v>49.83</x:v>
      </x:c>
      <x:c r="C5" s="82"/>
      <x:c r="D5" s="138" t="str">
        <x:v>GTLB_P | Historical / market data</x:v>
      </x:c>
      <x:c r="E5" s="138"/>
      <x:c r="F5" s="138"/>
      <x:c r="G5" s="138"/>
    </x:row>
    <x:row r="6" ht="36" customHeight="1">
      <x:c r="A6" s="78" t="str">
        <x:v>Salesforce reference share price</x:v>
      </x:c>
      <x:c r="B6" s="92" t="n">
        <x:v>259.23</x:v>
      </x:c>
      <x:c r="C6" s="82"/>
      <x:c r="D6" s="138" t="str">
        <x:v>CRM_P | Historical / market data</x:v>
      </x:c>
      <x:c r="E6" s="138"/>
      <x:c r="F6" s="138"/>
      <x:c r="G6" s="138"/>
    </x:row>
    <x:row r="7" ht="36" customHeight="1">
      <x:c r="A7" s="78" t="str">
        <x:v>Acquisition premium</x:v>
      </x:c>
      <x:c r="B7" s="94" t="n">
        <x:v>0.25</x:v>
      </x:c>
      <x:c r="C7" s="82"/>
      <x:c r="D7" s="138" t="str">
        <x:v>Assumption: modeled acquisition premium; not an observed bid.</x:v>
      </x:c>
      <x:c r="E7" s="138"/>
      <x:c r="F7" s="138"/>
      <x:c r="G7" s="138"/>
    </x:row>
    <x:row r="8" ht="36" customHeight="1">
      <x:c r="A8" s="78" t="str">
        <x:v>GitLab Class A shares at 31 July</x:v>
      </x:c>
      <x:c r="B8" s="95" t="n">
        <x:v>166.166</x:v>
      </x:c>
      <x:c r="C8" s="82"/>
      <x:c r="D8" s="138" t="str">
        <x:v>GTLB_Q27 | Historical / market data</x:v>
      </x:c>
      <x:c r="E8" s="138"/>
      <x:c r="F8" s="138"/>
      <x:c r="G8" s="138"/>
    </x:row>
    <x:row r="9" ht="36" customHeight="1">
      <x:c r="A9" s="78" t="str">
        <x:v>GitLab Class B shares at 31 July</x:v>
      </x:c>
      <x:c r="B9" s="95" t="n">
        <x:v>1.115</x:v>
      </x:c>
      <x:c r="C9" s="82"/>
      <x:c r="D9" s="138" t="str">
        <x:v>GTLB_Q27 | Historical / market data</x:v>
      </x:c>
      <x:c r="E9" s="138"/>
      <x:c r="F9" s="138"/>
      <x:c r="G9" s="138"/>
    </x:row>
    <x:row r="10" ht="36" customHeight="1">
      <x:c r="A10" s="78" t="str">
        <x:v>Incremental deal-equivalent awards</x:v>
      </x:c>
      <x:c r="B10" s="95" t="n">
        <x:v>5</x:v>
      </x:c>
      <x:c r="C10" s="82"/>
      <x:c r="D10" s="138" t="str">
        <x:v>Assumption: 5m fully vested-equivalent shares paid as pre-combination consideration; subject to capitalization diligence.</x:v>
      </x:c>
      <x:c r="E10" s="138"/>
      <x:c r="F10" s="138"/>
      <x:c r="G10" s="138"/>
    </x:row>
    <x:row r="11" ht="36" customHeight="1">
      <x:c r="A11" s="78" t="str">
        <x:v>Cash portion of consideration</x:v>
      </x:c>
      <x:c r="B11" s="94" t="n">
        <x:v>0.25</x:v>
      </x:c>
      <x:c r="C11" s="82"/>
      <x:c r="D11" s="138" t="str">
        <x:v>Assumption: base structure preserves liquidity. Fees paid with cash separately.</x:v>
      </x:c>
      <x:c r="E11" s="138"/>
      <x:c r="F11" s="138"/>
      <x:c r="G11" s="138"/>
    </x:row>
    <x:row r="12" ht="36" customHeight="1">
      <x:c r="A12" s="78" t="str">
        <x:v>Debt portion of consideration</x:v>
      </x:c>
      <x:c r="B12" s="94" t="n">
        <x:v>0.25</x:v>
      </x:c>
      <x:c r="C12" s="82"/>
      <x:c r="D12" s="138" t="str">
        <x:v>Assumption: 5-year bullet financing; no cash sweep.</x:v>
      </x:c>
      <x:c r="E12" s="138"/>
      <x:c r="F12" s="138"/>
      <x:c r="G12" s="138"/>
    </x:row>
    <x:row r="13" ht="36" customHeight="1">
      <x:c r="A13" s="78" t="str">
        <x:v>Stock portion of consideration</x:v>
      </x:c>
      <x:c r="B13" s="94" t="n">
        <x:v>0.5</x:v>
      </x:c>
      <x:c r="C13" s="82"/>
      <x:c r="D13" s="138" t="str">
        <x:v>Assumption: no stock-price collar; fixed reference price at close.</x:v>
      </x:c>
      <x:c r="E13" s="138"/>
      <x:c r="F13" s="138"/>
      <x:c r="G13" s="138"/>
    </x:row>
    <x:row r="14" ht="36" customHeight="1">
      <x:c r="A14" s="78" t="str">
        <x:v>New debt annual interest rate</x:v>
      </x:c>
      <x:c r="B14" s="94" t="n">
        <x:v>0.065</x:v>
      </x:c>
      <x:c r="C14" s="82"/>
      <x:c r="D14" s="138" t="str">
        <x:v>Assumption: 6.5%; not a bank financing quote.</x:v>
      </x:c>
      <x:c r="E14" s="138"/>
      <x:c r="F14" s="138"/>
      <x:c r="G14" s="138"/>
    </x:row>
    <x:row r="15" ht="36" customHeight="1">
      <x:c r="A15" s="78" t="str">
        <x:v>Foregone annual cash yield</x:v>
      </x:c>
      <x:c r="B15" s="94" t="n">
        <x:v>0.04</x:v>
      </x:c>
      <x:c r="C15" s="82"/>
      <x:c r="D15" s="138" t="str">
        <x:v>Assumption: 4%; only acquirer cash actually used loses interest income.</x:v>
      </x:c>
      <x:c r="E15" s="138"/>
      <x:c r="F15" s="138"/>
      <x:c r="G15" s="138"/>
    </x:row>
    <x:row r="16" ht="36" customHeight="1">
      <x:c r="A16" s="78" t="str">
        <x:v>Normalized marginal tax rate</x:v>
      </x:c>
      <x:c r="B16" s="94" t="n">
        <x:v>0.235</x:v>
      </x:c>
      <x:c r="C16" s="82"/>
      <x:c r="D16" s="138" t="str">
        <x:v>Assumption: normalized US rate; full tax benefit on recurring deal adjustments. Test tax shield separately.</x:v>
      </x:c>
      <x:c r="E16" s="138"/>
      <x:c r="F16" s="138"/>
      <x:c r="G16" s="138"/>
    </x:row>
    <x:row r="17" ht="36" customHeight="1">
      <x:c r="A17" s="78" t="str">
        <x:v>Advisory / legal fees as % equity</x:v>
      </x:c>
      <x:c r="B17" s="94" t="n">
        <x:v>0.01</x:v>
      </x:c>
      <x:c r="C17" s="82"/>
      <x:c r="D17" s="138" t="str">
        <x:v>Assumption: cash paid at closing; expensed, no tax deduction assumed.</x:v>
      </x:c>
      <x:c r="E17" s="138"/>
      <x:c r="F17" s="138"/>
      <x:c r="G17" s="138"/>
    </x:row>
    <x:row r="18" ht="36" customHeight="1">
      <x:c r="A18" s="78" t="str">
        <x:v>Debt issuance fee rate</x:v>
      </x:c>
      <x:c r="B18" s="94" t="n">
        <x:v>0.015</x:v>
      </x:c>
      <x:c r="C18" s="82"/>
      <x:c r="D18" s="138" t="str">
        <x:v>Assumption: cash paid at close, netted from debt carrying value; straight-line amortization.</x:v>
      </x:c>
      <x:c r="E18" s="138"/>
      <x:c r="F18" s="138"/>
      <x:c r="G18" s="138"/>
    </x:row>
    <x:row r="19" ht="36" customHeight="1">
      <x:c r="A19" s="78" t="str">
        <x:v>Debt tenor / fee amortization years</x:v>
      </x:c>
      <x:c r="B19" s="95" t="n">
        <x:v>5</x:v>
      </x:c>
      <x:c r="C19" s="82"/>
      <x:c r="D19" s="138" t="str">
        <x:v>Assumption: five-year bullet, unchanged principal during forecast.</x:v>
      </x:c>
      <x:c r="E19" s="138"/>
      <x:c r="F19" s="138"/>
      <x:c r="G19" s="138"/>
    </x:row>
    <x:row r="20" ht="36" customHeight="1">
      <x:c r="A20" s="78" t="str">
        <x:v>Minimum Salesforce liquidity</x:v>
      </x:c>
      <x:c r="B20" s="95" t="n">
        <x:v>4000</x:v>
      </x:c>
      <x:c r="C20" s="82"/>
      <x:c r="D20" s="138" t="str">
        <x:v>Assumption: minimum cash plus liquid securities.</x:v>
      </x:c>
      <x:c r="E20" s="138"/>
      <x:c r="F20" s="138"/>
      <x:c r="G20" s="138"/>
    </x:row>
    <x:row r="21" ht="36" customHeight="1">
      <x:c r="A21" s="78" t="str">
        <x:v>Reserve for other capital commitments</x:v>
      </x:c>
      <x:c r="B21" s="95" t="n">
        <x:v>3000</x:v>
      </x:c>
      <x:c r="C21" s="82"/>
      <x:c r="D21" s="138" t="str">
        <x:v>Assumption: liquidity reserve for other capital commitments; excluded from transaction uses and from minimum retained liquidity.</x:v>
      </x:c>
      <x:c r="E21" s="138"/>
      <x:c r="F21" s="138"/>
      <x:c r="G21" s="138"/>
    </x:row>
    <x:row r="22" ht="36" customHeight="1">
      <x:c r="A22" s="78" t="str">
        <x:v>Incremental intangibles / deal EV</x:v>
      </x:c>
      <x:c r="B22" s="94" t="n">
        <x:v>0.35</x:v>
      </x:c>
      <x:c r="C22" s="82"/>
      <x:c r="D22" s="138" t="str">
        <x:v>Assumption: incremental asset write-up, not total intangible fair value. Existing amortization remains in standalone EBIT.</x:v>
      </x:c>
      <x:c r="E22" s="138"/>
      <x:c r="F22" s="138"/>
      <x:c r="G22" s="138"/>
    </x:row>
    <x:row r="23" ht="36" customHeight="1">
      <x:c r="A23" s="78" t="str">
        <x:v>Customer relationships weight</x:v>
      </x:c>
      <x:c r="B23" s="94" t="n">
        <x:v>0.6</x:v>
      </x:c>
      <x:c r="C23" s="82"/>
      <x:c r="D23" s="138" t="str">
        <x:v>Assumption: allocation of incremental intangibles.</x:v>
      </x:c>
      <x:c r="E23" s="138"/>
      <x:c r="F23" s="138"/>
      <x:c r="G23" s="138"/>
    </x:row>
    <x:row r="24" ht="36" customHeight="1">
      <x:c r="A24" s="78" t="str">
        <x:v>Developed technology weight</x:v>
      </x:c>
      <x:c r="B24" s="94" t="n">
        <x:v>0.35</x:v>
      </x:c>
      <x:c r="C24" s="82"/>
      <x:c r="D24" s="138" t="str">
        <x:v>Assumption: allocation of incremental intangibles.</x:v>
      </x:c>
      <x:c r="E24" s="138"/>
      <x:c r="F24" s="138"/>
      <x:c r="G24" s="138"/>
    </x:row>
    <x:row r="25" ht="36" customHeight="1">
      <x:c r="A25" s="78" t="str">
        <x:v>Trade name weight</x:v>
      </x:c>
      <x:c r="B25" s="94" t="n">
        <x:v>0.05</x:v>
      </x:c>
      <x:c r="C25" s="82"/>
      <x:c r="D25" s="138" t="str">
        <x:v>Assumption: allocation of incremental intangibles.</x:v>
      </x:c>
      <x:c r="E25" s="138"/>
      <x:c r="F25" s="138"/>
      <x:c r="G25" s="138"/>
    </x:row>
    <x:row r="26" ht="36" customHeight="1">
      <x:c r="A26" s="78" t="str">
        <x:v>Customer relationships life</x:v>
      </x:c>
      <x:c r="B26" s="95" t="n">
        <x:v>10</x:v>
      </x:c>
      <x:c r="C26" s="82"/>
      <x:c r="D26" s="138" t="str">
        <x:v>Assumption: straight-line years; no tax-basis step-up.</x:v>
      </x:c>
      <x:c r="E26" s="138"/>
      <x:c r="F26" s="138"/>
      <x:c r="G26" s="138"/>
    </x:row>
    <x:row r="27" ht="36" customHeight="1">
      <x:c r="A27" s="78" t="str">
        <x:v>Developed technology life</x:v>
      </x:c>
      <x:c r="B27" s="95" t="n">
        <x:v>5</x:v>
      </x:c>
      <x:c r="C27" s="82"/>
      <x:c r="D27" s="138" t="str">
        <x:v>Assumption: straight-line years; no tax-basis step-up.</x:v>
      </x:c>
      <x:c r="E27" s="138"/>
      <x:c r="F27" s="138"/>
      <x:c r="G27" s="138"/>
    </x:row>
    <x:row r="28" ht="36" customHeight="1">
      <x:c r="A28" s="78" t="str">
        <x:v>Trade name life</x:v>
      </x:c>
      <x:c r="B28" s="95" t="n">
        <x:v>5</x:v>
      </x:c>
      <x:c r="C28" s="82"/>
      <x:c r="D28" s="138" t="str">
        <x:v>Assumption: straight-line years; no tax-basis step-up.</x:v>
      </x:c>
      <x:c r="E28" s="138"/>
      <x:c r="F28" s="138"/>
      <x:c r="G28" s="138"/>
    </x:row>
    <x:row r="29" ht="36" customHeight="1">
      <x:c r="A29" s="78" t="str">
        <x:v>Cost synergy scenario multiplier</x:v>
      </x:c>
      <x:c r="B29" s="95" t="n">
        <x:v>1</x:v>
      </x:c>
      <x:c r="C29" s="82"/>
      <x:c r="D29" s="138" t="str">
        <x:v>Assumption: multiplies bottom-up run-rate savings; 1.0x base.</x:v>
      </x:c>
      <x:c r="E29" s="138"/>
      <x:c r="F29" s="138"/>
      <x:c r="G29" s="138"/>
    </x:row>
    <x:row r="30" ht="36" customHeight="1">
      <x:c r="A30" s="78" t="str">
        <x:v>G&amp;A cash cost reduction</x:v>
      </x:c>
      <x:c r="B30" s="94" t="n">
        <x:v>0.3</x:v>
      </x:c>
      <x:c r="C30" s="82"/>
      <x:c r="D30" s="138" t="str">
        <x:v>Assumption: public-company and corporate functions; includes vendor/facilities, no duplicate buckets.</x:v>
      </x:c>
      <x:c r="E30" s="138"/>
      <x:c r="F30" s="138"/>
      <x:c r="G30" s="138"/>
    </x:row>
    <x:row r="31" ht="36" customHeight="1">
      <x:c r="A31" s="78" t="str">
        <x:v>S&amp;M cash cost reduction</x:v>
      </x:c>
      <x:c r="B31" s="94" t="n">
        <x:v>0.12</x:v>
      </x:c>
      <x:c r="C31" s="82"/>
      <x:c r="D31" s="138" t="str">
        <x:v>Assumption: selling overlap; retain independent developer sales motion.</x:v>
      </x:c>
      <x:c r="E31" s="138"/>
      <x:c r="F31" s="138"/>
      <x:c r="G31" s="138"/>
    </x:row>
    <x:row r="32" ht="36" customHeight="1">
      <x:c r="A32" s="78" t="str">
        <x:v>Cash cost-of-revenue reduction</x:v>
      </x:c>
      <x:c r="B32" s="94" t="n">
        <x:v>0.06</x:v>
      </x:c>
      <x:c r="C32" s="82"/>
      <x:c r="D32" s="138" t="str">
        <x:v>Assumption: infrastructure/vendor efficiencies; excludes R&amp;D cuts.</x:v>
      </x:c>
      <x:c r="E32" s="138"/>
      <x:c r="F32" s="138"/>
      <x:c r="G32" s="138"/>
    </x:row>
    <x:row r="33" ht="36" customHeight="1">
      <x:c r="A33" s="78" t="str">
        <x:v>Year 1 synergy realization</x:v>
      </x:c>
      <x:c r="B33" s="94" t="n">
        <x:v>0.25</x:v>
      </x:c>
      <x:c r="C33" s="82"/>
      <x:c r="D33" s="138" t="str">
        <x:v>Assumption: FY2028, first full year after closing.</x:v>
      </x:c>
      <x:c r="E33" s="138"/>
      <x:c r="F33" s="138"/>
      <x:c r="G33" s="138"/>
    </x:row>
    <x:row r="34" ht="36" customHeight="1">
      <x:c r="A34" s="78" t="str">
        <x:v>Year 2 synergy realization</x:v>
      </x:c>
      <x:c r="B34" s="94" t="n">
        <x:v>0.6</x:v>
      </x:c>
      <x:c r="C34" s="82"/>
      <x:c r="D34" s="138" t="str">
        <x:v>Assumption: FY2029.</x:v>
      </x:c>
      <x:c r="E34" s="138"/>
      <x:c r="F34" s="138"/>
      <x:c r="G34" s="138"/>
    </x:row>
    <x:row r="35" ht="36" customHeight="1">
      <x:c r="A35" s="78" t="str">
        <x:v>Year 3 synergy realization</x:v>
      </x:c>
      <x:c r="B35" s="94" t="n">
        <x:v>1</x:v>
      </x:c>
      <x:c r="C35" s="82"/>
      <x:c r="D35" s="138" t="str">
        <x:v>Assumption: FY2030.</x:v>
      </x:c>
      <x:c r="E35" s="138"/>
      <x:c r="F35" s="138"/>
      <x:c r="G35" s="138"/>
    </x:row>
    <x:row r="36" ht="36" customHeight="1">
      <x:c r="A36" s="78" t="str">
        <x:v>Integration costs / run-rate savings</x:v>
      </x:c>
      <x:c r="B36" s="95" t="n">
        <x:v>1</x:v>
      </x:c>
      <x:c r="C36" s="82"/>
      <x:c r="D36" s="138" t="str">
        <x:v>Assumption: 1.0x run rate, paid 60% / 40% in years 1 / 2.</x:v>
      </x:c>
      <x:c r="E36" s="138"/>
      <x:c r="F36" s="138"/>
      <x:c r="G36" s="138"/>
    </x:row>
    <x:row r="37" ht="36" customHeight="1">
      <x:c r="A37" s="78" t="str">
        <x:v>Year 1 share of integration spend</x:v>
      </x:c>
      <x:c r="B37" s="94" t="n">
        <x:v>0.6</x:v>
      </x:c>
      <x:c r="C37" s="82"/>
      <x:c r="D37" s="138" t="str">
        <x:v>Assumption: remainder paid in year 2.</x:v>
      </x:c>
      <x:c r="E37" s="138"/>
      <x:c r="F37" s="138"/>
      <x:c r="G37" s="138"/>
    </x:row>
    <x:row r="38" ht="36" customHeight="1">
      <x:c r="A38" s="78" t="str">
        <x:v>Run-rate revenue synergy</x:v>
      </x:c>
      <x:c r="B38" s="95" t="n">
        <x:v>0</x:v>
      </x:c>
      <x:c r="C38" s="82"/>
      <x:c r="D38" s="138" t="str">
        <x:v>Assumption: zero in base; no management guidance.</x:v>
      </x:c>
      <x:c r="E38" s="138"/>
      <x:c r="F38" s="138"/>
      <x:c r="G38" s="138"/>
    </x:row>
    <x:row r="39" ht="36" customHeight="1">
      <x:c r="A39" s="78" t="str">
        <x:v>Revenue synergy contribution margin</x:v>
      </x:c>
      <x:c r="B39" s="94" t="n">
        <x:v>0.25</x:v>
      </x:c>
      <x:c r="C39" s="82"/>
      <x:c r="D39" s="138" t="str">
        <x:v>Assumption: incremental contribution after all delivery/selling costs.</x:v>
      </x:c>
      <x:c r="E39" s="138"/>
      <x:c r="F39" s="138"/>
      <x:c r="G39" s="138"/>
    </x:row>
    <x:row r="40" ht="36" customHeight="1">
      <x:c r="A40" s="78" t="str">
        <x:v>WACC</x:v>
      </x:c>
      <x:c r="B40" s="94" t="n">
        <x:v>0.115</x:v>
      </x:c>
      <x:c r="C40" s="82"/>
      <x:c r="D40" s="138" t="str">
        <x:v>Assumption: 11.5% hurdle; sensitivity 9.5%-13.5%; not market-estimated CAPM.</x:v>
      </x:c>
      <x:c r="E40" s="138"/>
      <x:c r="F40" s="138"/>
      <x:c r="G40" s="138"/>
    </x:row>
    <x:row r="41" ht="36" customHeight="1">
      <x:c r="A41" s="78" t="str">
        <x:v>Terminal growth</x:v>
      </x:c>
      <x:c r="B41" s="94" t="n">
        <x:v>0.025</x:v>
      </x:c>
      <x:c r="C41" s="82"/>
      <x:c r="D41" s="138" t="str">
        <x:v>Assumption: 2.5%; below WACC.</x:v>
      </x:c>
      <x:c r="E41" s="138"/>
      <x:c r="F41" s="138"/>
      <x:c r="G41" s="138"/>
    </x:row>
    <x:row r="42" ht="36" customHeight="1">
      <x:c r="A42" s="78" t="str">
        <x:v>Exit EV / GAAP EBIT multiple</x:v>
      </x:c>
      <x:c r="B42" s="95" t="n">
        <x:v>20</x:v>
      </x:c>
      <x:c r="C42" s="82"/>
      <x:c r="D42" s="138" t="str">
        <x:v>Assumption: 20x normalized GAAP EBIT, explicitly not EV/adjusted EBITDA.</x:v>
      </x:c>
      <x:c r="E42" s="138"/>
      <x:c r="F42" s="138"/>
      <x:c r="G42" s="138"/>
    </x:row>
    <x:row r="43" ht="36" customHeight="1">
      <x:c r="A43" s="78" t="str">
        <x:v>GTLB excluded cash / investments</x:v>
      </x:c>
      <x:c r="B43" s="95" t="n">
        <x:v>46.1</x:v>
      </x:c>
      <x:c r="C43" s="82"/>
      <x:c r="D43" s="138" t="str">
        <x:v>Assumption: conservatively reserve all JiHu assets disclosed in GTLB_Q27; actual restricted cash not separately verified.</x:v>
      </x:c>
      <x:c r="E43" s="138"/>
      <x:c r="F43" s="138"/>
      <x:c r="G43" s="138"/>
    </x:row>
    <x:row r="44" ht="36" customHeight="1">
      <x:c r="A44" s="78" t="str">
        <x:v>Days per year</x:v>
      </x:c>
      <x:c r="B44" s="95" t="n">
        <x:v>365</x:v>
      </x:c>
      <x:c r="C44" s="82"/>
      <x:c r="D44" s="138" t="str">
        <x:v>Convention: actual / 365.</x:v>
      </x:c>
      <x:c r="E44" s="138"/>
      <x:c r="F44" s="138"/>
      <x:c r="G44" s="138"/>
    </x:row>
    <x:row r="45" ht="36" customHeight="1">
      <x:c r="A45" s="78" t="str">
        <x:v>Half-year weight</x:v>
      </x:c>
      <x:c r="B45" s="95" t="n">
        <x:v>0.5</x:v>
      </x:c>
      <x:c r="C45" s="82"/>
      <x:c r="D45" s="138" t="str">
        <x:v>Convention: six-month share-count weighting.</x:v>
      </x:c>
      <x:c r="E45" s="138"/>
      <x:c r="F45" s="138"/>
      <x:c r="G45" s="138"/>
    </x:row>
    <x:row r="46" ht="36" customHeight="1">
      <x:c r="A46" s="78" t="str">
        <x:v>Quarters per year</x:v>
      </x:c>
      <x:c r="B46" s="95" t="n">
        <x:v>4</x:v>
      </x:c>
      <x:c r="C46" s="82"/>
      <x:c r="D46" s="138" t="str">
        <x:v>Convention: annualized quarterly revenue is not LTM.</x:v>
      </x:c>
      <x:c r="E46" s="138"/>
      <x:c r="F46" s="138"/>
      <x:c r="G46" s="138"/>
    </x:row>
    <x:row r="47" ht="36" customHeight="1">
      <x:c r="A47" s="78" t="str">
        <x:v>Assumed closing date</x:v>
      </x:c>
      <x:c r="B47" s="96" t="n">
        <x:v>46419</x:v>
      </x:c>
      <x:c r="C47" s="82"/>
      <x:c r="D47" s="138" t="str">
        <x:v>Assumption: 1 February 2027.</x:v>
      </x:c>
      <x:c r="E47" s="138"/>
      <x:c r="F47" s="138"/>
      <x:c r="G47" s="138"/>
    </x:row>
    <x:row r="48" ht="36" customHeight="1">
      <x:c r="A48" s="78" t="str">
        <x:v>Valuation date</x:v>
      </x:c>
      <x:c r="B48" s="96" t="n">
        <x:v>46269</x:v>
      </x:c>
      <x:c r="C48" s="82"/>
      <x:c r="D48" s="138" t="str">
        <x:v>Convention: 4 September 2026.</x:v>
      </x:c>
      <x:c r="E48" s="138"/>
      <x:c r="F48" s="138"/>
      <x:c r="G48" s="138"/>
    </x:row>
    <x:row r="49" ht="36" customHeight="1">
      <x:c r="A49" s="78" t="str">
        <x:v>GTLB FY26 G&amp;A SBC</x:v>
      </x:c>
      <x:c r="B49" s="95" t="n">
        <x:v>61.917</x:v>
      </x:c>
      <x:c r="C49" s="82"/>
      <x:c r="D49" s="138" t="str">
        <x:v>GTLB_F26 | Historical / market data</x:v>
      </x:c>
      <x:c r="E49" s="138"/>
      <x:c r="F49" s="138"/>
      <x:c r="G49" s="138"/>
    </x:row>
    <x:row r="50" ht="36" customHeight="1">
      <x:c r="A50" s="78" t="str">
        <x:v>GTLB prior H1 G&amp;A SBC</x:v>
      </x:c>
      <x:c r="B50" s="95" t="n">
        <x:v>30.411</x:v>
      </x:c>
      <x:c r="C50" s="82"/>
      <x:c r="D50" s="138" t="str">
        <x:v>GTLB_Q27 | Historical / market data</x:v>
      </x:c>
      <x:c r="E50" s="138"/>
      <x:c r="F50" s="138"/>
      <x:c r="G50" s="138"/>
    </x:row>
    <x:row r="51" ht="36" customHeight="1">
      <x:c r="A51" s="78" t="str">
        <x:v>GTLB current H1 G&amp;A SBC</x:v>
      </x:c>
      <x:c r="B51" s="95" t="n">
        <x:v>40.107</x:v>
      </x:c>
      <x:c r="C51" s="82"/>
      <x:c r="D51" s="138" t="str">
        <x:v>GTLB_Q27 | Historical / market data</x:v>
      </x:c>
      <x:c r="E51" s="138"/>
      <x:c r="F51" s="138"/>
      <x:c r="G51" s="138"/>
    </x:row>
    <x:row r="52" ht="36" customHeight="1">
      <x:c r="A52" s="78" t="str">
        <x:v>GTLB FY26 S&amp;M SBC</x:v>
      </x:c>
      <x:c r="B52" s="95" t="n">
        <x:v>78.967</x:v>
      </x:c>
      <x:c r="C52" s="82"/>
      <x:c r="D52" s="138" t="str">
        <x:v>GTLB_F26 | Historical / market data</x:v>
      </x:c>
      <x:c r="E52" s="138"/>
      <x:c r="F52" s="138"/>
      <x:c r="G52" s="138"/>
    </x:row>
    <x:row r="53" ht="36" customHeight="1">
      <x:c r="A53" s="78" t="str">
        <x:v>GTLB prior H1 S&amp;M SBC</x:v>
      </x:c>
      <x:c r="B53" s="95" t="n">
        <x:v>42.041</x:v>
      </x:c>
      <x:c r="C53" s="82"/>
      <x:c r="D53" s="138" t="str">
        <x:v>GTLB_Q27 | Historical / market data</x:v>
      </x:c>
      <x:c r="E53" s="138"/>
      <x:c r="F53" s="138"/>
      <x:c r="G53" s="138"/>
    </x:row>
    <x:row r="54" ht="36" customHeight="1">
      <x:c r="A54" s="78" t="str">
        <x:v>GTLB current H1 S&amp;M SBC</x:v>
      </x:c>
      <x:c r="B54" s="95" t="n">
        <x:v>42.772</x:v>
      </x:c>
      <x:c r="C54" s="82"/>
      <x:c r="D54" s="138" t="str">
        <x:v>GTLB_Q27 | Historical / market data</x:v>
      </x:c>
      <x:c r="E54" s="138"/>
      <x:c r="F54" s="138"/>
      <x:c r="G54" s="138"/>
    </x:row>
    <x:row r="55" ht="36" customHeight="1">
      <x:c r="A55" s="78" t="str">
        <x:v>GTLB FY26 cost-of-revenue SBC</x:v>
      </x:c>
      <x:c r="B55" s="95" t="n">
        <x:v>10.313</x:v>
      </x:c>
      <x:c r="C55" s="82"/>
      <x:c r="D55" s="138" t="str">
        <x:v>GTLB_F26 | Historical / market data</x:v>
      </x:c>
      <x:c r="E55" s="138"/>
      <x:c r="F55" s="138"/>
      <x:c r="G55" s="138"/>
    </x:row>
    <x:row r="56" ht="36" customHeight="1">
      <x:c r="A56" s="79" t="str">
        <x:v>GTLB prior H1 cost-of-revenue SBC</x:v>
      </x:c>
      <x:c r="B56" s="97" t="n">
        <x:v>4.19</x:v>
      </x:c>
      <x:c r="C56" s="86"/>
      <x:c r="D56" s="139" t="str">
        <x:v>GTLB_Q27 | Historical / market data</x:v>
      </x:c>
      <x:c r="E56" s="139"/>
      <x:c r="F56" s="139"/>
      <x:c r="G56" s="139"/>
    </x:row>
    <x:row r="57" ht="36" customHeight="1">
      <x:c r="A57" s="79" t="str">
        <x:v>GTLB current H1 cost-of-revenue SBC</x:v>
      </x:c>
      <x:c r="B57" s="97" t="n">
        <x:v>6.755</x:v>
      </x:c>
      <x:c r="C57" s="86"/>
      <x:c r="D57" s="139" t="str">
        <x:v>GTLB_Q27 | Historical / market data</x:v>
      </x:c>
      <x:c r="E57" s="139"/>
      <x:c r="F57" s="139"/>
      <x:c r="G57" s="139"/>
    </x:row>
    <x:row r="58" ht="36" customHeight="1">
      <x:c r="A58" s="79" t="str">
        <x:v>CRM FY27 revenue guidance low</x:v>
      </x:c>
      <x:c r="B58" s="97" t="n">
        <x:v>46100</x:v>
      </x:c>
      <x:c r="C58" s="86"/>
      <x:c r="D58" s="139" t="str">
        <x:v>CRM_Q27 | Historical / market data</x:v>
      </x:c>
      <x:c r="E58" s="139"/>
      <x:c r="F58" s="139"/>
      <x:c r="G58" s="139"/>
    </x:row>
    <x:row r="59" ht="36" customHeight="1">
      <x:c r="A59" s="79" t="str">
        <x:v>CRM FY27 revenue guidance high</x:v>
      </x:c>
      <x:c r="B59" s="97" t="n">
        <x:v>46400</x:v>
      </x:c>
      <x:c r="C59" s="86"/>
      <x:c r="D59" s="139" t="str">
        <x:v>CRM_Q27 | Historical / market data</x:v>
      </x:c>
      <x:c r="E59" s="139"/>
      <x:c r="F59" s="139"/>
      <x:c r="G59" s="139"/>
    </x:row>
    <x:row r="60" ht="36" customHeight="1">
      <x:c r="A60" s="79" t="str">
        <x:v>GTLB FY27 revenue guidance low</x:v>
      </x:c>
      <x:c r="B60" s="97" t="n">
        <x:v>1129</x:v>
      </x:c>
      <x:c r="C60" s="86"/>
      <x:c r="D60" s="139" t="str">
        <x:v>GTLB_Q27 | Historical / market data</x:v>
      </x:c>
      <x:c r="E60" s="139"/>
      <x:c r="F60" s="139"/>
      <x:c r="G60" s="139"/>
    </x:row>
    <x:row r="61" ht="36" customHeight="1">
      <x:c r="A61" s="79" t="str">
        <x:v>GTLB FY27 revenue guidance high</x:v>
      </x:c>
      <x:c r="B61" s="97" t="n">
        <x:v>1133</x:v>
      </x:c>
      <x:c r="C61" s="86"/>
      <x:c r="D61" s="139" t="str">
        <x:v>GTLB_Q27 | Historical / market data</x:v>
      </x:c>
      <x:c r="E61" s="139"/>
      <x:c r="F61" s="139"/>
      <x:c r="G61" s="139"/>
    </x:row>
    <x:row r="62" ht="36" customHeight="1">
      <x:c r="A62" s="79" t="str">
        <x:v>GTLB NWC starting balance FY26</x:v>
      </x:c>
      <x:c r="B62" s="97" t="n">
        <x:v>-259.556</x:v>
      </x:c>
      <x:c r="C62" s="86"/>
      <x:c r="D62" s="139" t="str">
        <x:v>Derived from GTLB_F26 balance sheet: 304.301 + 48.899 + 42.676 + 23.705 - 9.205 - 58.185 - 39.657 - 545.096 - 26.994.</x:v>
      </x:c>
      <x:c r="E62" s="139"/>
      <x:c r="F62" s="139"/>
      <x:c r="G62" s="139"/>
    </x:row>
    <x:row r="63" ht="36" customHeight="1">
      <x:c r="A63" s="79" t="str">
        <x:v>Interest tax shield realization</x:v>
      </x:c>
      <x:c r="B63" s="99" t="n">
        <x:v>1</x:v>
      </x:c>
      <x:c r="C63" s="86"/>
      <x:c r="D63" s="139" t="str">
        <x:v>Assumption: 100% of new financing costs deductible; no legal/tax opinion.</x:v>
      </x:c>
      <x:c r="E63" s="139"/>
      <x:c r="F63" s="139"/>
      <x:c r="G63" s="139"/>
    </x:row>
    <x:row r="64" ht="36" customHeight="1">
      <x:c r="A64" s="79" t="str">
        <x:v>Model check tolerance</x:v>
      </x:c>
      <x:c r="B64" s="100" t="n">
        <x:v>0.000001</x:v>
      </x:c>
      <x:c r="C64" s="86"/>
      <x:c r="D64" s="139" t="str">
        <x:v>Convention: rounding tolerance in USD millions.</x:v>
      </x:c>
      <x:c r="E64" s="139"/>
      <x:c r="F64" s="139"/>
      <x:c r="G64" s="139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 t="str">
        <x:v>GitLab 52-week low</x:v>
      </x:c>
      <x:c r="B66" s="167" t="n">
        <x:v>18.73</x:v>
      </x:c>
      <x:c r="C66" s="86"/>
      <x:c r="D66" s="86" t="str">
        <x:v>GTLB_RANGE | Historical / market data</x:v>
      </x:c>
      <x:c r="E66" s="86"/>
      <x:c r="F66" s="86"/>
      <x:c r="G66" s="86"/>
    </x:row>
    <x:row r="67">
      <x:c r="A67" s="79" t="str">
        <x:v>GitLab 52-week high</x:v>
      </x:c>
      <x:c r="B67" s="167" t="n">
        <x:v>55.55</x:v>
      </x:c>
      <x:c r="C67" s="86"/>
      <x:c r="D67" s="86" t="str">
        <x:v>GTLB_RANGE | Historical / market data</x:v>
      </x:c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 ht="26" customHeight="1">
      <x:c r="A70" s="90" t="str">
        <x:v>STANDALONE FORECAST DRIVERS</x:v>
      </x:c>
      <x:c r="B70" s="101"/>
      <x:c r="C70" s="101"/>
      <x:c r="D70" s="101"/>
      <x:c r="E70" s="101"/>
      <x:c r="F70" s="101"/>
      <x:c r="G70" s="101"/>
    </x:row>
    <x:row r="71">
      <x:c r="A71" s="79"/>
      <x:c r="B71" s="86" t="str">
        <x:v>FY2027E</x:v>
      </x:c>
      <x:c r="C71" s="86" t="str">
        <x:v>FY2028E</x:v>
      </x:c>
      <x:c r="D71" s="86" t="str">
        <x:v>FY2029E</x:v>
      </x:c>
      <x:c r="E71" s="86" t="str">
        <x:v>FY2030E</x:v>
      </x:c>
      <x:c r="F71" s="86" t="str">
        <x:v>FY2031E</x:v>
      </x:c>
      <x:c r="G71" s="86" t="str">
        <x:v>FY2032E</x:v>
      </x:c>
    </x:row>
    <x:row r="72">
      <x:c r="A72" s="79" t="str">
        <x:v>CRM revenue growth</x:v>
      </x:c>
      <x:c r="B72" s="102" t="n">
        <x:f>AVERAGE('01_Assumptions'!$B$58,'01_Assumptions'!$B$59)/'02_CRM_Historical'!D5-1</x:f>
        <x:v>0.1137868753762794</x:v>
      </x:c>
      <x:c r="C72" s="99" t="n">
        <x:v>0.09</x:v>
      </x:c>
      <x:c r="D72" s="99" t="n">
        <x:v>0.08</x:v>
      </x:c>
      <x:c r="E72" s="99" t="n">
        <x:v>0.07</x:v>
      </x:c>
      <x:c r="F72" s="99" t="n">
        <x:v>0.06</x:v>
      </x:c>
      <x:c r="G72" s="99" t="n">
        <x:v>0.05</x:v>
      </x:c>
    </x:row>
    <x:row r="73">
      <x:c r="A73" s="79" t="str">
        <x:v>CRM gross margin</x:v>
      </x:c>
      <x:c r="B73" s="99" t="n">
        <x:v>0.77</x:v>
      </x:c>
      <x:c r="C73" s="99" t="n">
        <x:v>0.78</x:v>
      </x:c>
      <x:c r="D73" s="99" t="n">
        <x:v>0.785</x:v>
      </x:c>
      <x:c r="E73" s="99" t="n">
        <x:v>0.79</x:v>
      </x:c>
      <x:c r="F73" s="99" t="n">
        <x:v>0.795</x:v>
      </x:c>
      <x:c r="G73" s="99" t="n">
        <x:v>0.8</x:v>
      </x:c>
    </x:row>
    <x:row r="74">
      <x:c r="A74" s="79" t="str">
        <x:v>CRM GAAP EBIT margin</x:v>
      </x:c>
      <x:c r="B74" s="99" t="n">
        <x:v>0.201</x:v>
      </x:c>
      <x:c r="C74" s="99" t="n">
        <x:v>0.22</x:v>
      </x:c>
      <x:c r="D74" s="99" t="n">
        <x:v>0.235</x:v>
      </x:c>
      <x:c r="E74" s="99" t="n">
        <x:v>0.245</x:v>
      </x:c>
      <x:c r="F74" s="99" t="n">
        <x:v>0.25</x:v>
      </x:c>
      <x:c r="G74" s="99" t="n">
        <x:v>0.255</x:v>
      </x:c>
    </x:row>
    <x:row r="75">
      <x:c r="A75" s="79" t="str">
        <x:v>CRM SBC / revenue</x:v>
      </x:c>
      <x:c r="B75" s="99" t="n">
        <x:v>0.08</x:v>
      </x:c>
      <x:c r="C75" s="99" t="n">
        <x:v>0.08</x:v>
      </x:c>
      <x:c r="D75" s="99" t="n">
        <x:v>0.078</x:v>
      </x:c>
      <x:c r="E75" s="99" t="n">
        <x:v>0.075</x:v>
      </x:c>
      <x:c r="F75" s="99" t="n">
        <x:v>0.073</x:v>
      </x:c>
      <x:c r="G75" s="99" t="n">
        <x:v>0.07</x:v>
      </x:c>
    </x:row>
    <x:row r="76">
      <x:c r="A76" s="79" t="str">
        <x:v>CRM net interest and other</x:v>
      </x:c>
      <x:c r="B76" s="97" t="n">
        <x:v>-1464</x:v>
      </x:c>
      <x:c r="C76" s="97" t="n">
        <x:v>-1464</x:v>
      </x:c>
      <x:c r="D76" s="97" t="n">
        <x:v>-1464</x:v>
      </x:c>
      <x:c r="E76" s="97" t="n">
        <x:v>-1464</x:v>
      </x:c>
      <x:c r="F76" s="97" t="n">
        <x:v>-1464</x:v>
      </x:c>
      <x:c r="G76" s="97" t="n">
        <x:v>-1464</x:v>
      </x:c>
    </x:row>
    <x:row r="77">
      <x:c r="A77" s="79" t="str">
        <x:v>CRM diluted shares</x:v>
      </x:c>
      <x:c r="B77" s="97" t="n">
        <x:v>845</x:v>
      </x:c>
      <x:c r="C77" s="97" t="n">
        <x:v>825</x:v>
      </x:c>
      <x:c r="D77" s="97" t="n">
        <x:v>825</x:v>
      </x:c>
      <x:c r="E77" s="97" t="n">
        <x:v>825</x:v>
      </x:c>
      <x:c r="F77" s="97" t="n">
        <x:v>825</x:v>
      </x:c>
      <x:c r="G77" s="97" t="n">
        <x:v>825</x:v>
      </x:c>
    </x:row>
    <x:row r="78">
      <x:c r="A78" s="79" t="str">
        <x:v>CRM D&amp;A / revenue</x:v>
      </x:c>
      <x:c r="B78" s="99" t="n">
        <x:v>0.085</x:v>
      </x:c>
      <x:c r="C78" s="99" t="n">
        <x:v>0.08</x:v>
      </x:c>
      <x:c r="D78" s="99" t="n">
        <x:v>0.075</x:v>
      </x:c>
      <x:c r="E78" s="99" t="n">
        <x:v>0.07</x:v>
      </x:c>
      <x:c r="F78" s="99" t="n">
        <x:v>0.065</x:v>
      </x:c>
      <x:c r="G78" s="99" t="n">
        <x:v>0.06</x:v>
      </x:c>
    </x:row>
    <x:row r="79">
      <x:c r="A79" s="79" t="str">
        <x:v>CRM capex / revenue</x:v>
      </x:c>
      <x:c r="B79" s="99" t="n">
        <x:v>0.015</x:v>
      </x:c>
      <x:c r="C79" s="99" t="n">
        <x:v>0.015</x:v>
      </x:c>
      <x:c r="D79" s="99" t="n">
        <x:v>0.015</x:v>
      </x:c>
      <x:c r="E79" s="99" t="n">
        <x:v>0.015</x:v>
      </x:c>
      <x:c r="F79" s="99" t="n">
        <x:v>0.015</x:v>
      </x:c>
      <x:c r="G79" s="99" t="n">
        <x:v>0.015</x:v>
      </x:c>
    </x:row>
    <x:row r="80">
      <x:c r="A80" s="79" t="str">
        <x:v>GTLB revenue growth</x:v>
      </x:c>
      <x:c r="B80" s="102" t="n">
        <x:f>AVERAGE('01_Assumptions'!$B$60,'01_Assumptions'!$B$61)/'04_GTLB_Historical'!D5-1</x:f>
        <x:v>0.1840154769980653</x:v>
      </x:c>
      <x:c r="C80" s="99" t="n">
        <x:v>0.18</x:v>
      </x:c>
      <x:c r="D80" s="99" t="n">
        <x:v>0.16</x:v>
      </x:c>
      <x:c r="E80" s="99" t="n">
        <x:v>0.14</x:v>
      </x:c>
      <x:c r="F80" s="99" t="n">
        <x:v>0.12</x:v>
      </x:c>
      <x:c r="G80" s="99" t="n">
        <x:v>0.1</x:v>
      </x:c>
    </x:row>
    <x:row r="81">
      <x:c r="A81" s="79" t="str">
        <x:v>GTLB gross margin</x:v>
      </x:c>
      <x:c r="B81" s="99" t="n">
        <x:v>0.85</x:v>
      </x:c>
      <x:c r="C81" s="99" t="n">
        <x:v>0.86</x:v>
      </x:c>
      <x:c r="D81" s="99" t="n">
        <x:v>0.865</x:v>
      </x:c>
      <x:c r="E81" s="99" t="n">
        <x:v>0.87</x:v>
      </x:c>
      <x:c r="F81" s="99" t="n">
        <x:v>0.87</x:v>
      </x:c>
      <x:c r="G81" s="99" t="n">
        <x:v>0.87</x:v>
      </x:c>
    </x:row>
    <x:row r="82">
      <x:c r="A82" s="79" t="str">
        <x:v>GTLB EBIT margin before SBC</x:v>
      </x:c>
      <x:c r="B82" s="99" t="n">
        <x:v>0.14</x:v>
      </x:c>
      <x:c r="C82" s="99" t="n">
        <x:v>0.2</x:v>
      </x:c>
      <x:c r="D82" s="99" t="n">
        <x:v>0.24</x:v>
      </x:c>
      <x:c r="E82" s="99" t="n">
        <x:v>0.27</x:v>
      </x:c>
      <x:c r="F82" s="99" t="n">
        <x:v>0.29</x:v>
      </x:c>
      <x:c r="G82" s="99" t="n">
        <x:v>0.31</x:v>
      </x:c>
    </x:row>
    <x:row r="83">
      <x:c r="A83" s="79" t="str">
        <x:v>GTLB SBC / revenue</x:v>
      </x:c>
      <x:c r="B83" s="99" t="n">
        <x:v>0.23</x:v>
      </x:c>
      <x:c r="C83" s="99" t="n">
        <x:v>0.22</x:v>
      </x:c>
      <x:c r="D83" s="99" t="n">
        <x:v>0.2</x:v>
      </x:c>
      <x:c r="E83" s="99" t="n">
        <x:v>0.18</x:v>
      </x:c>
      <x:c r="F83" s="99" t="n">
        <x:v>0.16</x:v>
      </x:c>
      <x:c r="G83" s="99" t="n">
        <x:v>0.14</x:v>
      </x:c>
    </x:row>
    <x:row r="84">
      <x:c r="A84" s="79" t="str">
        <x:v>GTLB diluted shares</x:v>
      </x:c>
      <x:c r="B84" s="97" t="n">
        <x:v>172</x:v>
      </x:c>
      <x:c r="C84" s="97" t="n">
        <x:v>175</x:v>
      </x:c>
      <x:c r="D84" s="97" t="n">
        <x:v>178</x:v>
      </x:c>
      <x:c r="E84" s="97" t="n">
        <x:v>181</x:v>
      </x:c>
      <x:c r="F84" s="97" t="n">
        <x:v>184</x:v>
      </x:c>
      <x:c r="G84" s="97" t="n">
        <x:v>187</x:v>
      </x:c>
    </x:row>
    <x:row r="85">
      <x:c r="A85" s="79" t="str">
        <x:v>GTLB D&amp;A / revenue</x:v>
      </x:c>
      <x:c r="B85" s="99" t="n">
        <x:v>0.012</x:v>
      </x:c>
      <x:c r="C85" s="99" t="n">
        <x:v>0.012</x:v>
      </x:c>
      <x:c r="D85" s="99" t="n">
        <x:v>0.012</x:v>
      </x:c>
      <x:c r="E85" s="99" t="n">
        <x:v>0.012</x:v>
      </x:c>
      <x:c r="F85" s="99" t="n">
        <x:v>0.012</x:v>
      </x:c>
      <x:c r="G85" s="99" t="n">
        <x:v>0.012</x:v>
      </x:c>
    </x:row>
    <x:row r="86">
      <x:c r="A86" s="79" t="str">
        <x:v>GTLB capex / revenue</x:v>
      </x:c>
      <x:c r="B86" s="99" t="n">
        <x:v>0.01</x:v>
      </x:c>
      <x:c r="C86" s="99" t="n">
        <x:v>0.01</x:v>
      </x:c>
      <x:c r="D86" s="99" t="n">
        <x:v>0.01</x:v>
      </x:c>
      <x:c r="E86" s="99" t="n">
        <x:v>0.01</x:v>
      </x:c>
      <x:c r="F86" s="99" t="n">
        <x:v>0.01</x:v>
      </x:c>
      <x:c r="G86" s="99" t="n">
        <x:v>0.01</x:v>
      </x:c>
    </x:row>
    <x:row r="87">
      <x:c r="A87" s="79" t="str">
        <x:v>GTLB operating NWC / revenue</x:v>
      </x:c>
      <x:c r="B87" s="99" t="n">
        <x:v>-0.18</x:v>
      </x:c>
      <x:c r="C87" s="99" t="n">
        <x:v>-0.18</x:v>
      </x:c>
      <x:c r="D87" s="99" t="n">
        <x:v>-0.18</x:v>
      </x:c>
      <x:c r="E87" s="99" t="n">
        <x:v>-0.18</x:v>
      </x:c>
      <x:c r="F87" s="99" t="n">
        <x:v>-0.18</x:v>
      </x:c>
      <x:c r="G87" s="99" t="n">
        <x:v>-0.18</x:v>
      </x:c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 ht="20" customHeight="1">
      <x:c r="A90" s="25" t="str">
        <x:v>Forecasts retain SBC as an operating cost. CRM net other expense normalizes Q2 interest x 4 and H1 other income x 2; strategic investment gains are not repeated.</x:v>
      </x:c>
      <x:c r="B90" s="103"/>
      <x:c r="C90" s="103"/>
      <x:c r="D90" s="103"/>
      <x:c r="E90" s="103"/>
      <x:c r="F90" s="103"/>
      <x:c r="G90" s="103"/>
    </x:row>
    <x:row r="91" ht="20" customHeight="1">
      <x:c r="A91" s="25"/>
      <x:c r="B91" s="103"/>
      <x:c r="C91" s="103"/>
      <x:c r="D91" s="103"/>
      <x:c r="E91" s="103"/>
      <x:c r="F91" s="103"/>
      <x:c r="G91" s="103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 ht="26" customHeight="1">
      <x:c r="A95" s="90" t="str">
        <x:v>RECURRING COST PROXIES | GAAP FUNCTIONAL EXPENSE LESS SBC</x:v>
      </x:c>
      <x:c r="B95" s="101"/>
      <x:c r="C95" s="101"/>
      <x:c r="D95" s="101"/>
      <x:c r="E95" s="101"/>
      <x:c r="F95" s="101"/>
      <x:c r="G95" s="101"/>
    </x:row>
    <x:row r="96">
      <x:c r="A96" s="79" t="str">
        <x:v>Cost category</x:v>
      </x:c>
      <x:c r="B96" s="86" t="str">
        <x:v>FY2026A</x:v>
      </x:c>
      <x:c r="C96" s="86" t="str">
        <x:v>H1 FY2026A</x:v>
      </x:c>
      <x:c r="D96" s="86" t="str">
        <x:v>H1 FY2027A</x:v>
      </x:c>
      <x:c r="E96" s="86" t="str">
        <x:v>LTM Jul-26</x:v>
      </x:c>
      <x:c r="F96" s="86"/>
      <x:c r="G96" s="86"/>
    </x:row>
    <x:row r="97">
      <x:c r="A97" s="79" t="str">
        <x:v>G&amp;A expense less functional SBC</x:v>
      </x:c>
      <x:c r="B97" s="105" t="n">
        <x:f>'04_GTLB_Historical'!D10-$B$49</x:f>
        <x:v>133.746</x:v>
      </x:c>
      <x:c r="C97" s="105" t="n">
        <x:f>'04_GTLB_Historical'!E10-$B$50</x:f>
        <x:v>65.411</x:v>
      </x:c>
      <x:c r="D97" s="105" t="n">
        <x:f>'04_GTLB_Historical'!F10-$B$51</x:f>
        <x:v>79.68</x:v>
      </x:c>
      <x:c r="E97" s="104" t="n">
        <x:f>B97+D97-C97</x:f>
        <x:v>148.01500000000001</x:v>
      </x:c>
      <x:c r="F97" s="86"/>
      <x:c r="G97" s="86"/>
    </x:row>
    <x:row r="98">
      <x:c r="A98" s="79" t="str">
        <x:v>S&amp;M expense less functional SBC</x:v>
      </x:c>
      <x:c r="B98" s="105" t="n">
        <x:f>'04_GTLB_Historical'!D8-$B$52</x:f>
        <x:v>355.75800000000004</x:v>
      </x:c>
      <x:c r="C98" s="105" t="n">
        <x:f>'04_GTLB_Historical'!E8-$B$53</x:f>
        <x:v>175.129</x:v>
      </x:c>
      <x:c r="D98" s="105" t="n">
        <x:f>'04_GTLB_Historical'!F8-$B$54</x:f>
        <x:v>210.949</x:v>
      </x:c>
      <x:c r="E98" s="104" t="n">
        <x:f>B98+D98-C98</x:f>
        <x:v>391.5780000000001</x:v>
      </x:c>
      <x:c r="F98" s="86"/>
      <x:c r="G98" s="86"/>
    </x:row>
    <x:row r="99">
      <x:c r="A99" s="79" t="str">
        <x:v>Cost of revenue less functional SBC</x:v>
      </x:c>
      <x:c r="B99" s="105" t="n">
        <x:f>'04_GTLB_Historical'!D6-$B$55</x:f>
        <x:v>110.42999999999999</x:v>
      </x:c>
      <x:c r="C99" s="105" t="n">
        <x:f>'04_GTLB_Historical'!E6-$B$56</x:f>
        <x:v>49.35</x:v>
      </x:c>
      <x:c r="D99" s="105" t="n">
        <x:f>'04_GTLB_Historical'!F6-$B$57</x:f>
        <x:v>76.37100000000001</x:v>
      </x:c>
      <x:c r="E99" s="104" t="n">
        <x:f>B99+D99-C99</x:f>
        <x:v>137.451</x:v>
      </x:c>
      <x:c r="F99" s="86"/>
      <x:c r="G99" s="86"/>
    </x:row>
    <x:row r="100">
      <x:c r="A100" s="79" t="str">
        <x:v>Gross profit before cost-of-revenue SBC</x:v>
      </x:c>
      <x:c r="B100" s="105" t="n">
        <x:f>'04_GTLB_Historical'!D5-B99</x:f>
        <x:v>844.7940000000001</x:v>
      </x:c>
      <x:c r="C100" s="105" t="n">
        <x:f>'04_GTLB_Historical'!E5-C99</x:f>
        <x:v>401.11899999999997</x:v>
      </x:c>
      <x:c r="D100" s="105" t="n">
        <x:f>'04_GTLB_Historical'!F5-D99</x:f>
        <x:v>474.04100000000005</x:v>
      </x:c>
      <x:c r="E100" s="104" t="n">
        <x:f>B100+D100-C100</x:f>
        <x:v>917.7160000000001</x:v>
      </x:c>
      <x:c r="F100" s="86"/>
      <x:c r="G100" s="86"/>
    </x:row>
    <x:row r="101" ht="20" customHeight="1">
      <x:c r="A101" s="25" t="str">
        <x:v>Functional expense less stock-based compensation is used for the presentation synergy bridge. No R&amp;D cuts or revenue synergies are included in the base case; other non-cash or one-time items remain subject to diligence.</x:v>
      </x:c>
      <x:c r="B101" s="106"/>
      <x:c r="C101" s="106"/>
      <x:c r="D101" s="106"/>
      <x:c r="E101" s="106"/>
      <x:c r="F101" s="106"/>
      <x:c r="G101" s="106"/>
    </x:row>
    <x:row r="102" ht="20" customHeight="1">
      <x:c r="A102" s="25"/>
      <x:c r="B102" s="106"/>
      <x:c r="C102" s="106"/>
      <x:c r="D102" s="106"/>
      <x:c r="E102" s="106"/>
      <x:c r="F102" s="106"/>
      <x:c r="G102" s="106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  <x:row r="106">
      <x:c r="A106" t="str">
        <x:v>DCF sensitivity WACC step</x:v>
      </x:c>
      <x:c r="B106" s="15" t="n">
        <x:v>0.01</x:v>
      </x:c>
    </x:row>
    <x:row r="107">
      <x:c r="A107" t="str">
        <x:v>DCF sensitivity growth step</x:v>
      </x:c>
      <x:c r="B107" s="15" t="n">
        <x:v>0.005</x:v>
      </x:c>
    </x:row>
  </x:sheetData>
  <x:mergeCells>
    <x:mergeCell ref="A1:G1"/>
    <x:mergeCell ref="A2:G3"/>
    <x:mergeCell ref="D5:G5"/>
    <x:mergeCell ref="D6:G6"/>
    <x:mergeCell ref="D7:G7"/>
    <x:mergeCell ref="D8:G8"/>
    <x:mergeCell ref="D9:G9"/>
    <x:mergeCell ref="D10:G10"/>
    <x:mergeCell ref="D11:G11"/>
    <x:mergeCell ref="D12:G12"/>
    <x:mergeCell ref="D13:G13"/>
    <x:mergeCell ref="D14:G14"/>
    <x:mergeCell ref="D15:G15"/>
    <x:mergeCell ref="D16:G16"/>
    <x:mergeCell ref="D17:G17"/>
    <x:mergeCell ref="D18:G18"/>
    <x:mergeCell ref="D19:G19"/>
    <x:mergeCell ref="D20:G20"/>
    <x:mergeCell ref="D21:G21"/>
    <x:mergeCell ref="D22:G22"/>
    <x:mergeCell ref="D23:G23"/>
    <x:mergeCell ref="D24:G24"/>
    <x:mergeCell ref="D25:G25"/>
    <x:mergeCell ref="D26:G26"/>
    <x:mergeCell ref="D27:G27"/>
    <x:mergeCell ref="D28:G28"/>
    <x:mergeCell ref="D29:G29"/>
    <x:mergeCell ref="D30:G30"/>
    <x:mergeCell ref="D31:G31"/>
    <x:mergeCell ref="D32:G32"/>
    <x:mergeCell ref="D33:G33"/>
    <x:mergeCell ref="D34:G34"/>
    <x:mergeCell ref="D35:G35"/>
    <x:mergeCell ref="D36:G36"/>
    <x:mergeCell ref="D37:G37"/>
    <x:mergeCell ref="D38:G38"/>
    <x:mergeCell ref="D39:G39"/>
    <x:mergeCell ref="D40:G40"/>
    <x:mergeCell ref="D41:G41"/>
    <x:mergeCell ref="D42:G42"/>
    <x:mergeCell ref="D43:G43"/>
    <x:mergeCell ref="D44:G44"/>
    <x:mergeCell ref="D45:G45"/>
    <x:mergeCell ref="D46:G46"/>
    <x:mergeCell ref="D47:G47"/>
    <x:mergeCell ref="D48:G48"/>
    <x:mergeCell ref="D49:G49"/>
    <x:mergeCell ref="D50:G50"/>
    <x:mergeCell ref="D51:G51"/>
    <x:mergeCell ref="D52:G52"/>
    <x:mergeCell ref="D53:G53"/>
    <x:mergeCell ref="D54:G54"/>
    <x:mergeCell ref="D55:G55"/>
    <x:mergeCell ref="D56:G56"/>
    <x:mergeCell ref="D57:G57"/>
    <x:mergeCell ref="D58:G58"/>
    <x:mergeCell ref="D59:G59"/>
    <x:mergeCell ref="D60:G60"/>
    <x:mergeCell ref="D61:G61"/>
    <x:mergeCell ref="D62:G62"/>
    <x:mergeCell ref="D63:G63"/>
    <x:mergeCell ref="D64:G64"/>
    <x:mergeCell ref="A70:G70"/>
    <x:mergeCell ref="A90:G91"/>
    <x:mergeCell ref="A95:G95"/>
    <x:mergeCell ref="A101:G102"/>
  </x:mergeCells>
  <x:dataValidations count="16">
    <x:dataValidation type="decimal" operator="between" sqref="B7">
      <x:formula1>-0.99</x:formula1>
      <x:formula2>1</x:formula2>
    </x:dataValidation>
    <x:dataValidation type="decimal" operator="between" sqref="B16">
      <x:formula1>0</x:formula1>
      <x:formula2>1</x:formula2>
    </x:dataValidation>
    <x:dataValidation type="decimal" operator="between" sqref="B11">
      <x:formula1>0</x:formula1>
      <x:formula2>1</x:formula2>
    </x:dataValidation>
    <x:dataValidation type="decimal" operator="between" sqref="B12">
      <x:formula1>0</x:formula1>
      <x:formula2>1</x:formula2>
    </x:dataValidation>
    <x:dataValidation type="decimal" operator="between" sqref="B13">
      <x:formula1>0</x:formula1>
      <x:formula2>1</x:formula2>
    </x:dataValidation>
    <x:dataValidation type="decimal" operator="between" sqref="B30">
      <x:formula1>0</x:formula1>
      <x:formula2>1</x:formula2>
    </x:dataValidation>
    <x:dataValidation type="decimal" operator="between" sqref="B31">
      <x:formula1>0</x:formula1>
      <x:formula2>1</x:formula2>
    </x:dataValidation>
    <x:dataValidation type="decimal" operator="between" sqref="B32">
      <x:formula1>0</x:formula1>
      <x:formula2>1</x:formula2>
    </x:dataValidation>
    <x:dataValidation type="decimal" operator="between" sqref="B33">
      <x:formula1>0.000001</x:formula1>
      <x:formula2>1</x:formula2>
    </x:dataValidation>
    <x:dataValidation type="decimal" operator="between" sqref="B34">
      <x:formula1>0.000001</x:formula1>
      <x:formula2>1</x:formula2>
    </x:dataValidation>
    <x:dataValidation type="decimal" operator="between" sqref="B35">
      <x:formula1>0.000001</x:formula1>
      <x:formula2>1</x:formula2>
    </x:dataValidation>
    <x:dataValidation type="decimal" operator="between" sqref="B63">
      <x:formula1>0</x:formula1>
      <x:formula2>1</x:formula2>
    </x:dataValidation>
    <x:dataValidation type="decimal" operator="greaterThan" sqref="B19">
      <x:formula1>0</x:formula1>
    </x:dataValidation>
    <x:dataValidation type="decimal" operator="greaterThan" sqref="B26">
      <x:formula1>0</x:formula1>
    </x:dataValidation>
    <x:dataValidation type="decimal" operator="greaterThan" sqref="B27">
      <x:formula1>0</x:formula1>
    </x:dataValidation>
    <x:dataValidation type="decimal" operator="greaterThan" sqref="B28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f80bf2c4b15b4ab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CRM Historical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FY2024A</x:v>
      </x:c>
      <x:c r="C4" s="109" t="str">
        <x:v>FY2025A</x:v>
      </x:c>
      <x:c r="D4" s="109" t="str">
        <x:v>FY2026A</x:v>
      </x:c>
      <x:c r="E4" s="109" t="str">
        <x:v>H1 FY2026A</x:v>
      </x:c>
      <x:c r="F4" s="109" t="str">
        <x:v>H1 FY2027A</x:v>
      </x:c>
      <x:c r="G4" s="109" t="str">
        <x:v>LTM Jul-26</x:v>
      </x:c>
    </x:row>
    <x:row r="5" ht="22" customHeight="1">
      <x:c r="A5" s="78" t="str">
        <x:v>Revenue</x:v>
      </x:c>
      <x:c r="B5" s="95" t="n">
        <x:v>34857</x:v>
      </x:c>
      <x:c r="C5" s="95" t="n">
        <x:v>37895</x:v>
      </x:c>
      <x:c r="D5" s="95" t="n">
        <x:v>41525</x:v>
      </x:c>
      <x:c r="E5" s="95" t="n">
        <x:v>20065</x:v>
      </x:c>
      <x:c r="F5" s="95" t="n">
        <x:v>22478</x:v>
      </x:c>
      <x:c r="G5" s="112" t="n">
        <x:f>D5+F5-E5</x:f>
        <x:v>43938</x:v>
      </x:c>
    </x:row>
    <x:row r="6" ht="22" customHeight="1">
      <x:c r="A6" s="78" t="str">
        <x:v>Cost of revenue</x:v>
      </x:c>
      <x:c r="B6" s="95" t="n">
        <x:v>8541</x:v>
      </x:c>
      <x:c r="C6" s="95" t="n">
        <x:v>8643</x:v>
      </x:c>
      <x:c r="D6" s="95" t="n">
        <x:v>9270</x:v>
      </x:c>
      <x:c r="E6" s="95" t="n">
        <x:v>4507</x:v>
      </x:c>
      <x:c r="F6" s="95" t="n">
        <x:v>5219</x:v>
      </x:c>
      <x:c r="G6" s="112" t="n">
        <x:f>D6+F6-E6</x:f>
        <x:v>9982</x:v>
      </x:c>
    </x:row>
    <x:row r="7" ht="22" customHeight="1">
      <x:c r="A7" s="110" t="str">
        <x:v>Gross profit</x:v>
      </x:c>
      <x:c r="B7" s="113" t="n">
        <x:f>B5-B6</x:f>
        <x:v>26316</x:v>
      </x:c>
      <x:c r="C7" s="113" t="n">
        <x:f>C5-C6</x:f>
        <x:v>29252</x:v>
      </x:c>
      <x:c r="D7" s="113" t="n">
        <x:f>D5-D6</x:f>
        <x:v>32255</x:v>
      </x:c>
      <x:c r="E7" s="113" t="n">
        <x:f>E5-E6</x:f>
        <x:v>15558</x:v>
      </x:c>
      <x:c r="F7" s="113" t="n">
        <x:f>F5-F6</x:f>
        <x:v>17259</x:v>
      </x:c>
      <x:c r="G7" s="113" t="n">
        <x:f>D7+F7-E7</x:f>
        <x:v>33956</x:v>
      </x:c>
    </x:row>
    <x:row r="8" ht="22" customHeight="1">
      <x:c r="A8" s="78" t="str">
        <x:v>Sales and marketing</x:v>
      </x:c>
      <x:c r="B8" s="95" t="n">
        <x:v>12877</x:v>
      </x:c>
      <x:c r="C8" s="95" t="n">
        <x:v>13257</x:v>
      </x:c>
      <x:c r="D8" s="95" t="n">
        <x:v>14345</x:v>
      </x:c>
      <x:c r="E8" s="95" t="n">
        <x:v>6872</x:v>
      </x:c>
      <x:c r="F8" s="95" t="n">
        <x:v>7628</x:v>
      </x:c>
      <x:c r="G8" s="112" t="n">
        <x:f>D8+F8-E8</x:f>
        <x:v>15101</x:v>
      </x:c>
    </x:row>
    <x:row r="9" ht="22" customHeight="1">
      <x:c r="A9" s="78" t="str">
        <x:v>Research and development</x:v>
      </x:c>
      <x:c r="B9" s="95" t="n">
        <x:v>4906</x:v>
      </x:c>
      <x:c r="C9" s="95" t="n">
        <x:v>5493</x:v>
      </x:c>
      <x:c r="D9" s="95" t="n">
        <x:v>5993</x:v>
      </x:c>
      <x:c r="E9" s="95" t="n">
        <x:v>2941</x:v>
      </x:c>
      <x:c r="F9" s="95" t="n">
        <x:v>3314</x:v>
      </x:c>
      <x:c r="G9" s="112" t="n">
        <x:f>D9+F9-E9</x:f>
        <x:v>6366</x:v>
      </x:c>
    </x:row>
    <x:row r="10" ht="22" customHeight="1">
      <x:c r="A10" s="78" t="str">
        <x:v>General and administrative</x:v>
      </x:c>
      <x:c r="B10" s="95" t="n">
        <x:v>2534</x:v>
      </x:c>
      <x:c r="C10" s="95" t="n">
        <x:v>2836</x:v>
      </x:c>
      <x:c r="D10" s="95" t="n">
        <x:v>3000</x:v>
      </x:c>
      <x:c r="E10" s="95" t="n">
        <x:v>1431</x:v>
      </x:c>
      <x:c r="F10" s="95" t="n">
        <x:v>1465</x:v>
      </x:c>
      <x:c r="G10" s="112" t="n">
        <x:f>D10+F10-E10</x:f>
        <x:v>3034</x:v>
      </x:c>
    </x:row>
    <x:row r="11" ht="22" customHeight="1">
      <x:c r="A11" s="78" t="str">
        <x:v>Restructuring</x:v>
      </x:c>
      <x:c r="B11" s="95" t="n">
        <x:v>988</x:v>
      </x:c>
      <x:c r="C11" s="95" t="n">
        <x:v>461</x:v>
      </x:c>
      <x:c r="D11" s="95" t="n">
        <x:v>586</x:v>
      </x:c>
      <x:c r="E11" s="95" t="n">
        <x:v>40</x:v>
      </x:c>
      <x:c r="F11" s="95" t="n">
        <x:v>174</x:v>
      </x:c>
      <x:c r="G11" s="112" t="n">
        <x:f>D11+F11-E11</x:f>
        <x:v>720</x:v>
      </x:c>
    </x:row>
    <x:row r="12" ht="22" customHeight="1">
      <x:c r="A12" s="110" t="str">
        <x:v>GAAP operating income</x:v>
      </x:c>
      <x:c r="B12" s="113" t="n">
        <x:f>B7-SUM(B8:B11)</x:f>
        <x:v>5011</x:v>
      </x:c>
      <x:c r="C12" s="113" t="n">
        <x:f>C7-SUM(C8:C11)</x:f>
        <x:v>7205</x:v>
      </x:c>
      <x:c r="D12" s="113" t="n">
        <x:f>D7-SUM(D8:D11)</x:f>
        <x:v>8331</x:v>
      </x:c>
      <x:c r="E12" s="113" t="n">
        <x:f>E7-SUM(E8:E11)</x:f>
        <x:v>4274</x:v>
      </x:c>
      <x:c r="F12" s="113" t="n">
        <x:f>F7-SUM(F8:F11)</x:f>
        <x:v>4678</x:v>
      </x:c>
      <x:c r="G12" s="113" t="n">
        <x:f>D12+F12-E12</x:f>
        <x:v>8735</x:v>
      </x:c>
    </x:row>
    <x:row r="13" ht="22" customHeight="1">
      <x:c r="A13" s="78" t="str">
        <x:v>Strategic investment gains</x:v>
      </x:c>
      <x:c r="B13" s="95" t="n">
        <x:v>-277</x:v>
      </x:c>
      <x:c r="C13" s="95" t="n">
        <x:v>-121</x:v>
      </x:c>
      <x:c r="D13" s="95" t="n">
        <x:v>1017</x:v>
      </x:c>
      <x:c r="E13" s="95" t="n">
        <x:v>-57</x:v>
      </x:c>
      <x:c r="F13" s="95" t="n">
        <x:v>3171</x:v>
      </x:c>
      <x:c r="G13" s="112" t="n">
        <x:f>D13+F13-E13</x:f>
        <x:v>4245</x:v>
      </x:c>
    </x:row>
    <x:row r="14" ht="22" customHeight="1">
      <x:c r="A14" s="78" t="str">
        <x:v>Net other income incl. interest</x:v>
      </x:c>
      <x:c r="B14" s="95" t="n">
        <x:v>216</x:v>
      </x:c>
      <x:c r="C14" s="95" t="n">
        <x:v>354</x:v>
      </x:c>
      <x:c r="D14" s="95" t="n">
        <x:v>172</x:v>
      </x:c>
      <x:c r="E14" s="95" t="n">
        <x:v>163</x:v>
      </x:c>
      <x:c r="F14" s="95" t="n">
        <x:v>-576</x:v>
      </x:c>
      <x:c r="G14" s="112" t="n">
        <x:f>D14+F14-E14</x:f>
        <x:v>-567</x:v>
      </x:c>
    </x:row>
    <x:row r="15" ht="22" customHeight="1">
      <x:c r="A15" s="78" t="str">
        <x:v>Income before tax</x:v>
      </x:c>
      <x:c r="B15" s="112" t="n">
        <x:f>SUM(B12:B14)</x:f>
        <x:v>4950</x:v>
      </x:c>
      <x:c r="C15" s="112" t="n">
        <x:f>SUM(C12:C14)</x:f>
        <x:v>7438</x:v>
      </x:c>
      <x:c r="D15" s="112" t="n">
        <x:f>SUM(D12:D14)</x:f>
        <x:v>9520</x:v>
      </x:c>
      <x:c r="E15" s="112" t="n">
        <x:f>SUM(E12:E14)</x:f>
        <x:v>4380</x:v>
      </x:c>
      <x:c r="F15" s="112" t="n">
        <x:f>SUM(F12:F14)</x:f>
        <x:v>7273</x:v>
      </x:c>
      <x:c r="G15" s="112" t="n">
        <x:f>D15+F15-E15</x:f>
        <x:v>12413</x:v>
      </x:c>
    </x:row>
    <x:row r="16" ht="22" customHeight="1">
      <x:c r="A16" s="78" t="str">
        <x:v>Tax expense</x:v>
      </x:c>
      <x:c r="B16" s="95" t="n">
        <x:v>814</x:v>
      </x:c>
      <x:c r="C16" s="95" t="n">
        <x:v>1241</x:v>
      </x:c>
      <x:c r="D16" s="95" t="n">
        <x:v>2063</x:v>
      </x:c>
      <x:c r="E16" s="95" t="n">
        <x:v>952</x:v>
      </x:c>
      <x:c r="F16" s="95" t="n">
        <x:v>1640</x:v>
      </x:c>
      <x:c r="G16" s="112" t="n">
        <x:f>D16+F16-E16</x:f>
        <x:v>2751</x:v>
      </x:c>
    </x:row>
    <x:row r="17" ht="22" customHeight="1">
      <x:c r="A17" s="78" t="str">
        <x:v>Consolidated net income</x:v>
      </x:c>
      <x:c r="B17" s="112" t="n">
        <x:f>B15-B16</x:f>
        <x:v>4136</x:v>
      </x:c>
      <x:c r="C17" s="112" t="n">
        <x:f>C15-C16</x:f>
        <x:v>6197</x:v>
      </x:c>
      <x:c r="D17" s="112" t="n">
        <x:f>D15-D16</x:f>
        <x:v>7457</x:v>
      </x:c>
      <x:c r="E17" s="112" t="n">
        <x:f>E15-E16</x:f>
        <x:v>3428</x:v>
      </x:c>
      <x:c r="F17" s="112" t="n">
        <x:f>F15-F16</x:f>
        <x:v>5633</x:v>
      </x:c>
      <x:c r="G17" s="112" t="n">
        <x:f>D17+F17-E17</x:f>
        <x:v>9662</x:v>
      </x:c>
    </x:row>
    <x:row r="18" ht="22" customHeight="1">
      <x:c r="A18" s="78" t="str">
        <x:v>NCI income (loss)</x:v>
      </x:c>
      <x:c r="B18" s="95" t="n">
        <x:v>0</x:v>
      </x:c>
      <x:c r="C18" s="95" t="n">
        <x:v>0</x:v>
      </x:c>
      <x:c r="D18" s="95" t="n">
        <x:v>0</x:v>
      </x:c>
      <x:c r="E18" s="95" t="n">
        <x:v>0</x:v>
      </x:c>
      <x:c r="F18" s="95" t="n">
        <x:v>0</x:v>
      </x:c>
      <x:c r="G18" s="112" t="n">
        <x:f>D18+F18-E18</x:f>
        <x:v>0</x:v>
      </x:c>
    </x:row>
    <x:row r="19" ht="22" customHeight="1">
      <x:c r="A19" s="110" t="str">
        <x:v>Net income attributable to parent</x:v>
      </x:c>
      <x:c r="B19" s="113" t="n">
        <x:f>B17-B18</x:f>
        <x:v>4136</x:v>
      </x:c>
      <x:c r="C19" s="113" t="n">
        <x:f>C17-C18</x:f>
        <x:v>6197</x:v>
      </x:c>
      <x:c r="D19" s="113" t="n">
        <x:f>D17-D18</x:f>
        <x:v>7457</x:v>
      </x:c>
      <x:c r="E19" s="113" t="n">
        <x:f>E17-E18</x:f>
        <x:v>3428</x:v>
      </x:c>
      <x:c r="F19" s="113" t="n">
        <x:f>F17-F18</x:f>
        <x:v>5633</x:v>
      </x:c>
      <x:c r="G19" s="113" t="n">
        <x:f>D19+F19-E19</x:f>
        <x:v>9662</x:v>
      </x:c>
    </x:row>
    <x:row r="20" ht="22" customHeight="1">
      <x:c r="A20" s="78" t="str">
        <x:v>Weighted diluted shares</x:v>
      </x:c>
      <x:c r="B20" s="95" t="n">
        <x:v>984</x:v>
      </x:c>
      <x:c r="C20" s="95" t="n">
        <x:v>974</x:v>
      </x:c>
      <x:c r="D20" s="95" t="n">
        <x:v>956</x:v>
      </x:c>
      <x:c r="E20" s="95" t="n">
        <x:v>966</x:v>
      </x:c>
      <x:c r="F20" s="95" t="n">
        <x:v>845</x:v>
      </x:c>
      <x:c r="G20" s="83" t="n">
        <x:f>D20+'01_Assumptions'!$B$45*(F20-E20)</x:f>
        <x:v>895.5</x:v>
      </x:c>
    </x:row>
    <x:row r="21" ht="22" customHeight="1">
      <x:c r="A21" s="78" t="str">
        <x:v>Reported diluted EPS</x:v>
      </x:c>
      <x:c r="B21" s="92" t="n">
        <x:v>4.2</x:v>
      </x:c>
      <x:c r="C21" s="92" t="n">
        <x:v>6.36</x:v>
      </x:c>
      <x:c r="D21" s="92" t="n">
        <x:v>7.8</x:v>
      </x:c>
      <x:c r="E21" s="92" t="n">
        <x:v>3.55</x:v>
      </x:c>
      <x:c r="F21" s="92" t="n">
        <x:v>6.67</x:v>
      </x:c>
      <x:c r="G21" s="114" t="n">
        <x:f>G19/G20</x:f>
        <x:v>10.789503070910106</x:v>
      </x:c>
    </x:row>
    <x:row r="22" ht="22" customHeight="1">
      <x:c r="A22" s="78" t="str">
        <x:v>SBC (cash-flow adjustment)</x:v>
      </x:c>
      <x:c r="B22" s="95" t="n">
        <x:v>2787</x:v>
      </x:c>
      <x:c r="C22" s="95" t="n">
        <x:v>3183</x:v>
      </x:c>
      <x:c r="D22" s="95" t="n">
        <x:v>3509</x:v>
      </x:c>
      <x:c r="E22" s="95" t="n">
        <x:v>1607</x:v>
      </x:c>
      <x:c r="F22" s="95" t="n">
        <x:v>1763</x:v>
      </x:c>
      <x:c r="G22" s="112" t="n">
        <x:f>D22+F22-E22</x:f>
        <x:v>3665</x:v>
      </x:c>
    </x:row>
    <x:row r="23" ht="22" customHeight="1">
      <x:c r="A23" s="78" t="str">
        <x:v>D&amp;A</x:v>
      </x:c>
      <x:c r="B23" s="95" t="n">
        <x:v>3959</x:v>
      </x:c>
      <x:c r="C23" s="95" t="n">
        <x:v>3477</x:v>
      </x:c>
      <x:c r="D23" s="95" t="n">
        <x:v>3631</x:v>
      </x:c>
      <x:c r="E23" s="95" t="n">
        <x:v>1660</x:v>
      </x:c>
      <x:c r="F23" s="95" t="n">
        <x:v>1951</x:v>
      </x:c>
      <x:c r="G23" s="112" t="n">
        <x:f>D23+F23-E23</x:f>
        <x:v>3922</x:v>
      </x:c>
    </x:row>
    <x:row r="24" ht="22" customHeight="1">
      <x:c r="A24" s="78" t="str">
        <x:v>Capex</x:v>
      </x:c>
      <x:c r="B24" s="95" t="n">
        <x:v>736</x:v>
      </x:c>
      <x:c r="C24" s="95" t="n">
        <x:v>658</x:v>
      </x:c>
      <x:c r="D24" s="95" t="n">
        <x:v>594</x:v>
      </x:c>
      <x:c r="E24" s="95" t="n">
        <x:v>314</x:v>
      </x:c>
      <x:c r="F24" s="95" t="n">
        <x:v>316</x:v>
      </x:c>
      <x:c r="G24" s="112" t="n">
        <x:f>D24+F24-E24</x:f>
        <x:v>596</x:v>
      </x:c>
    </x:row>
    <x:row r="25" ht="22" customHeight="1">
      <x:c r="A25" s="78" t="str">
        <x:v>Operating cash flow</x:v>
      </x:c>
      <x:c r="B25" s="95" t="n">
        <x:v>10234</x:v>
      </x:c>
      <x:c r="C25" s="95" t="n">
        <x:v>13092</x:v>
      </x:c>
      <x:c r="D25" s="95" t="n">
        <x:v>14996</x:v>
      </x:c>
      <x:c r="E25" s="95" t="n">
        <x:v>7216</x:v>
      </x:c>
      <x:c r="F25" s="95" t="n">
        <x:v>7970</x:v>
      </x:c>
      <x:c r="G25" s="112" t="n">
        <x:f>D25+F25-E25</x:f>
        <x:v>15750</x:v>
      </x:c>
    </x:row>
    <x:row r="26" ht="22" customHeight="1">
      <x:c r="A26" s="110" t="str">
        <x:v>Unadjusted free cash flow</x:v>
      </x:c>
      <x:c r="B26" s="113" t="n">
        <x:f>B25-B24</x:f>
        <x:v>9498</x:v>
      </x:c>
      <x:c r="C26" s="113" t="n">
        <x:f>C25-C24</x:f>
        <x:v>12434</x:v>
      </x:c>
      <x:c r="D26" s="113" t="n">
        <x:f>D25-D24</x:f>
        <x:v>14402</x:v>
      </x:c>
      <x:c r="E26" s="113" t="n">
        <x:f>E25-E24</x:f>
        <x:v>6902</x:v>
      </x:c>
      <x:c r="F26" s="113" t="n">
        <x:f>F25-F24</x:f>
        <x:v>7654</x:v>
      </x:c>
      <x:c r="G26" s="113" t="n">
        <x:f>D26+F26-E26</x:f>
        <x:v>15154</x:v>
      </x:c>
    </x:row>
    <x:row r="27" ht="22" customHeight="1">
      <x:c r="A27" s="78" t="str">
        <x:v>Gross margin</x:v>
      </x:c>
      <x:c r="B27" s="115" t="n">
        <x:f>B7/B5</x:f>
        <x:v>0.7549703072553576</x:v>
      </x:c>
      <x:c r="C27" s="115" t="n">
        <x:f>C7/C5</x:f>
        <x:v>0.7719224172054361</x:v>
      </x:c>
      <x:c r="D27" s="115" t="n">
        <x:f>D7/D5</x:f>
        <x:v>0.7767609873570138</x:v>
      </x:c>
      <x:c r="E27" s="115" t="n">
        <x:f>E7/E5</x:f>
        <x:v>0.775380014951408</x:v>
      </x:c>
      <x:c r="F27" s="115" t="n">
        <x:f>F7/F5</x:f>
        <x:v>0.7678174214787793</x:v>
      </x:c>
      <x:c r="G27" s="115" t="n">
        <x:f>G7/G5</x:f>
        <x:v>0.772816241066958</x:v>
      </x:c>
    </x:row>
    <x:row r="28" ht="30" customHeight="1">
      <x:c r="A28" s="78" t="str">
        <x:v>Revenue growth</x:v>
      </x:c>
      <x:c r="B28" s="169" t="str">
        <x:v>—</x:v>
      </x:c>
      <x:c r="C28" s="117" t="n">
        <x:f>C5/B5-1</x:f>
        <x:v>0.08715609490202825</x:v>
      </x:c>
      <x:c r="D28" s="117" t="n">
        <x:f>D5/C5-1</x:f>
        <x:v>0.09579100145137875</x:v>
      </x:c>
      <x:c r="E28" s="169" t="str">
        <x:v>—</x:v>
      </x:c>
      <x:c r="F28" s="117" t="n">
        <x:f>F5/E5-1</x:f>
        <x:v>0.12025915773735352</x:v>
      </x:c>
      <x:c r="G28" s="169" t="str">
        <x:v>—</x:v>
      </x:c>
    </x:row>
    <x:row r="29" ht="22" customHeight="1">
      <x:c r="A29" s="78" t="str">
        <x:v>GAAP operating margin</x:v>
      </x:c>
      <x:c r="B29" s="115" t="n">
        <x:f>B12/B5</x:f>
        <x:v>0.14375878589666352</x:v>
      </x:c>
      <x:c r="C29" s="115" t="n">
        <x:f>C12/C5</x:f>
        <x:v>0.19013062409288825</x:v>
      </x:c>
      <x:c r="D29" s="115" t="n">
        <x:f>D12/D5</x:f>
        <x:v>0.20062612883804937</x:v>
      </x:c>
      <x:c r="E29" s="115" t="n">
        <x:f>E12/E5</x:f>
        <x:v>0.2130077248940942</x:v>
      </x:c>
      <x:c r="F29" s="115" t="n">
        <x:f>F12/F5</x:f>
        <x:v>0.2081146009431444</x:v>
      </x:c>
      <x:c r="G29" s="115" t="n">
        <x:f>G12/G5</x:f>
        <x:v>0.1988028585734444</x:v>
      </x:c>
    </x:row>
    <x:row r="30" ht="22" customHeight="1">
      <x:c r="A30" s="78" t="str">
        <x:v>Cash-flow SBC / revenue</x:v>
      </x:c>
      <x:c r="B30" s="115" t="n">
        <x:f>B22/B5</x:f>
        <x:v>0.07995524571822016</x:v>
      </x:c>
      <x:c r="C30" s="115" t="n">
        <x:f>C22/C5</x:f>
        <x:v>0.08399525003298589</x:v>
      </x:c>
      <x:c r="D30" s="115" t="n">
        <x:f>D22/D5</x:f>
        <x:v>0.08450331125827815</x:v>
      </x:c>
      <x:c r="E30" s="115" t="n">
        <x:f>E22/E5</x:f>
        <x:v>0.08008970844754548</x:v>
      </x:c>
      <x:c r="F30" s="115" t="n">
        <x:f>F22/F5</x:f>
        <x:v>0.07843224486164249</x:v>
      </x:c>
      <x:c r="G30" s="115" t="n">
        <x:f>G22/G5</x:f>
        <x:v>0.08341299103281898</x:v>
      </x:c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6" customHeight="1">
      <x:c r="A33" s="111" t="str">
        <x:v>LATEST BALANCE SHEET | 31 JULY 2026</x:v>
      </x:c>
      <x:c r="B33" s="118"/>
      <x:c r="C33" s="118"/>
      <x:c r="D33" s="118"/>
      <x:c r="E33" s="118"/>
      <x:c r="F33" s="118"/>
      <x:c r="G33" s="118"/>
    </x:row>
    <x:row r="34" ht="22" customHeight="1">
      <x:c r="A34" s="78" t="str">
        <x:v>cash</x:v>
      </x:c>
      <x:c r="B34" s="95" t="n">
        <x:v>8310</x:v>
      </x:c>
      <x:c r="C34" s="82"/>
      <x:c r="D34" s="82"/>
      <x:c r="E34" s="82"/>
      <x:c r="F34" s="82"/>
      <x:c r="G34" s="82"/>
    </x:row>
    <x:row r="35" ht="22" customHeight="1">
      <x:c r="A35" s="78" t="str">
        <x:v>investments</x:v>
      </x:c>
      <x:c r="B35" s="95" t="n">
        <x:v>3093</x:v>
      </x:c>
      <x:c r="C35" s="82"/>
      <x:c r="D35" s="82"/>
      <x:c r="E35" s="82"/>
      <x:c r="F35" s="82"/>
      <x:c r="G35" s="82"/>
    </x:row>
    <x:row r="36" ht="22" customHeight="1">
      <x:c r="A36" s="78" t="str">
        <x:v>debt</x:v>
      </x:c>
      <x:c r="B36" s="95" t="n">
        <x:v>39288</x:v>
      </x:c>
      <x:c r="C36" s="82"/>
      <x:c r="D36" s="82"/>
      <x:c r="E36" s="82"/>
      <x:c r="F36" s="82"/>
      <x:c r="G36" s="82"/>
    </x:row>
    <x:row r="37" ht="22" customHeight="1">
      <x:c r="A37" s="78" t="str">
        <x:v>assets</x:v>
      </x:c>
      <x:c r="B37" s="95" t="n">
        <x:v>109620</x:v>
      </x:c>
      <x:c r="C37" s="82"/>
      <x:c r="D37" s="82"/>
      <x:c r="E37" s="82"/>
      <x:c r="F37" s="82"/>
      <x:c r="G37" s="82"/>
    </x:row>
    <x:row r="38" ht="22" customHeight="1">
      <x:c r="A38" s="78" t="str">
        <x:v>liabilities</x:v>
      </x:c>
      <x:c r="B38" s="95" t="n">
        <x:v>71242</x:v>
      </x:c>
      <x:c r="C38" s="82"/>
      <x:c r="D38" s="82"/>
      <x:c r="E38" s="82"/>
      <x:c r="F38" s="82"/>
      <x:c r="G38" s="82"/>
    </x:row>
    <x:row r="39" ht="22" customHeight="1">
      <x:c r="A39" s="78" t="str">
        <x:v>parentEquity</x:v>
      </x:c>
      <x:c r="B39" s="95" t="n">
        <x:v>38378</x:v>
      </x:c>
      <x:c r="C39" s="82"/>
      <x:c r="D39" s="82"/>
      <x:c r="E39" s="82"/>
      <x:c r="F39" s="82"/>
      <x:c r="G39" s="82"/>
    </x:row>
    <x:row r="40" ht="22" customHeight="1">
      <x:c r="A40" s="78" t="str">
        <x:v>nci</x:v>
      </x:c>
      <x:c r="B40" s="95" t="n">
        <x:v>0</x:v>
      </x:c>
      <x:c r="C40" s="82"/>
      <x:c r="D40" s="82"/>
      <x:c r="E40" s="82"/>
      <x:c r="F40" s="82"/>
      <x:c r="G40" s="82"/>
    </x:row>
    <x:row r="41" ht="22" customHeight="1">
      <x:c r="A41" s="78" t="str">
        <x:v>goodwill</x:v>
      </x:c>
      <x:c r="B41" s="95" t="n">
        <x:v>59250</x:v>
      </x:c>
      <x:c r="C41" s="82"/>
      <x:c r="D41" s="82"/>
      <x:c r="E41" s="82"/>
      <x:c r="F41" s="82"/>
      <x:c r="G41" s="82"/>
    </x:row>
    <x:row r="42" ht="22" customHeight="1">
      <x:c r="A42" s="78" t="str">
        <x:v>intangibles</x:v>
      </x:c>
      <x:c r="B42" s="95" t="n">
        <x:v>6142</x:v>
      </x:c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 t="str">
        <x:v>Balance sheet check</x:v>
      </x:c>
      <x:c r="B44" s="112" t="n">
        <x:f>B37-SUM(B38:B40)</x:f>
        <x:v>0</x:v>
      </x:c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0" customHeight="1">
      <x:c r="A46" s="7" t="str">
        <x:v>Annual net other income includes interest expense. H1 net other = other income less interest. LTM share count is time-weighted; historical diluted EPS may differ due to rounding.</x:v>
      </x:c>
      <x:c r="B46" s="81"/>
      <x:c r="C46" s="81"/>
      <x:c r="D46" s="81"/>
      <x:c r="E46" s="81"/>
      <x:c r="F46" s="81"/>
      <x:c r="G46" s="81"/>
    </x:row>
    <x:row r="47" ht="20" customHeight="1">
      <x:c r="A47" s="7"/>
      <x:c r="B47" s="81"/>
      <x:c r="C47" s="81"/>
      <x:c r="D47" s="81"/>
      <x:c r="E47" s="81"/>
      <x:c r="F47" s="81"/>
      <x:c r="G47" s="81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33:G33"/>
    <x:mergeCell ref="A46:G47"/>
  </x:mergeCells>
  <x:pageMargins left="0.7" right="0.7" top="0.75" bottom="0.75" header="0.3" footer="0.3"/>
  <x:legacyDrawing xmlns:r="http://schemas.openxmlformats.org/officeDocument/2006/relationships" r:id="R02c43148730b41f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CRM Forecast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FY2027E</x:v>
      </x:c>
      <x:c r="C4" s="109" t="str">
        <x:v>FY2028E</x:v>
      </x:c>
      <x:c r="D4" s="109" t="str">
        <x:v>FY2029E</x:v>
      </x:c>
      <x:c r="E4" s="109" t="str">
        <x:v>FY2030E</x:v>
      </x:c>
      <x:c r="F4" s="109" t="str">
        <x:v>FY2031E</x:v>
      </x:c>
      <x:c r="G4" s="109" t="str">
        <x:v>FY2032E</x:v>
      </x:c>
    </x:row>
    <x:row r="5" ht="22" customHeight="1">
      <x:c r="A5" s="110" t="str">
        <x:v>Revenue</x:v>
      </x:c>
      <x:c r="B5" s="119" t="n">
        <x:f>AVERAGE('01_Assumptions'!$B$58,'01_Assumptions'!$B$59)</x:f>
        <x:v>46250</x:v>
      </x:c>
      <x:c r="C5" s="119" t="n">
        <x:f>B5*(1+'01_Assumptions'!C72)</x:f>
        <x:v>50412.50000000001</x:v>
      </x:c>
      <x:c r="D5" s="119" t="n">
        <x:f>C5*(1+'01_Assumptions'!D72)</x:f>
        <x:v>54445.500000000015</x:v>
      </x:c>
      <x:c r="E5" s="119" t="n">
        <x:f>D5*(1+'01_Assumptions'!E72)</x:f>
        <x:v>58256.68500000002</x:v>
      </x:c>
      <x:c r="F5" s="119" t="n">
        <x:f>E5*(1+'01_Assumptions'!F72)</x:f>
        <x:v>61752.08610000002</x:v>
      </x:c>
      <x:c r="G5" s="119" t="n">
        <x:f>F5*(1+'01_Assumptions'!G72)</x:f>
        <x:v>64839.69040500002</x:v>
      </x:c>
    </x:row>
    <x:row r="6" ht="22" customHeight="1">
      <x:c r="A6" s="78" t="str">
        <x:v>Revenue growth</x:v>
      </x:c>
      <x:c r="B6" s="85" t="n">
        <x:f>B5/'02_CRM_Historical'!D5-1</x:f>
        <x:v>0.1137868753762794</x:v>
      </x:c>
      <x:c r="C6" s="115" t="n">
        <x:f>C5/B5-1</x:f>
        <x:v>0.09000000000000008</x:v>
      </x:c>
      <x:c r="D6" s="115" t="n">
        <x:f>D5/C5-1</x:f>
        <x:v>0.08000000000000007</x:v>
      </x:c>
      <x:c r="E6" s="115" t="n">
        <x:f>E5/D5-1</x:f>
        <x:v>0.07000000000000006</x:v>
      </x:c>
      <x:c r="F6" s="115" t="n">
        <x:f>F5/E5-1</x:f>
        <x:v>0.06000000000000005</x:v>
      </x:c>
      <x:c r="G6" s="115" t="n">
        <x:f>G5/F5-1</x:f>
        <x:v>0.050000000000000044</x:v>
      </x:c>
    </x:row>
    <x:row r="7" ht="22" customHeight="1">
      <x:c r="A7" s="78" t="str">
        <x:v>Gross margin</x:v>
      </x:c>
      <x:c r="B7" s="85" t="n">
        <x:f>'01_Assumptions'!B73</x:f>
        <x:v>0.77</x:v>
      </x:c>
      <x:c r="C7" s="85" t="n">
        <x:f>'01_Assumptions'!C73</x:f>
        <x:v>0.78</x:v>
      </x:c>
      <x:c r="D7" s="85" t="n">
        <x:f>'01_Assumptions'!D73</x:f>
        <x:v>0.785</x:v>
      </x:c>
      <x:c r="E7" s="85" t="n">
        <x:f>'01_Assumptions'!E73</x:f>
        <x:v>0.79</x:v>
      </x:c>
      <x:c r="F7" s="85" t="n">
        <x:f>'01_Assumptions'!F73</x:f>
        <x:v>0.795</x:v>
      </x:c>
      <x:c r="G7" s="85" t="n">
        <x:f>'01_Assumptions'!G73</x:f>
        <x:v>0.8</x:v>
      </x:c>
    </x:row>
    <x:row r="8" ht="22" customHeight="1">
      <x:c r="A8" s="78" t="str">
        <x:v>Gross profit</x:v>
      </x:c>
      <x:c r="B8" s="112" t="n">
        <x:f>B5*B7</x:f>
        <x:v>35612.5</x:v>
      </x:c>
      <x:c r="C8" s="112" t="n">
        <x:f>C5*C7</x:f>
        <x:v>39321.75000000001</x:v>
      </x:c>
      <x:c r="D8" s="112" t="n">
        <x:f>D5*D7</x:f>
        <x:v>42739.71750000001</x:v>
      </x:c>
      <x:c r="E8" s="112" t="n">
        <x:f>E5*E7</x:f>
        <x:v>46022.78115000002</x:v>
      </x:c>
      <x:c r="F8" s="112" t="n">
        <x:f>F5*F7</x:f>
        <x:v>49092.90844950002</x:v>
      </x:c>
      <x:c r="G8" s="112" t="n">
        <x:f>G5*G7</x:f>
        <x:v>51871.75232400002</x:v>
      </x:c>
    </x:row>
    <x:row r="9" ht="22" customHeight="1">
      <x:c r="A9" s="78" t="str">
        <x:v>Operating margin before SBC</x:v>
      </x:c>
      <x:c r="B9" s="85" t="n">
        <x:f>'01_Assumptions'!B74+B10</x:f>
        <x:v>0.281</x:v>
      </x:c>
      <x:c r="C9" s="85" t="n">
        <x:f>'01_Assumptions'!C74+C10</x:f>
        <x:v>0.3</x:v>
      </x:c>
      <x:c r="D9" s="85" t="n">
        <x:f>'01_Assumptions'!D74+D10</x:f>
        <x:v>0.313</x:v>
      </x:c>
      <x:c r="E9" s="85" t="n">
        <x:f>'01_Assumptions'!E74+E10</x:f>
        <x:v>0.32</x:v>
      </x:c>
      <x:c r="F9" s="85" t="n">
        <x:f>'01_Assumptions'!F74+F10</x:f>
        <x:v>0.323</x:v>
      </x:c>
      <x:c r="G9" s="85" t="n">
        <x:f>'01_Assumptions'!G74+G10</x:f>
        <x:v>0.325</x:v>
      </x:c>
    </x:row>
    <x:row r="10" ht="22" customHeight="1">
      <x:c r="A10" s="78" t="str">
        <x:v>SBC / revenue</x:v>
      </x:c>
      <x:c r="B10" s="85" t="n">
        <x:f>'01_Assumptions'!B75</x:f>
        <x:v>0.08</x:v>
      </x:c>
      <x:c r="C10" s="85" t="n">
        <x:f>'01_Assumptions'!C75</x:f>
        <x:v>0.08</x:v>
      </x:c>
      <x:c r="D10" s="85" t="n">
        <x:f>'01_Assumptions'!D75</x:f>
        <x:v>0.078</x:v>
      </x:c>
      <x:c r="E10" s="85" t="n">
        <x:f>'01_Assumptions'!E75</x:f>
        <x:v>0.075</x:v>
      </x:c>
      <x:c r="F10" s="85" t="n">
        <x:f>'01_Assumptions'!F75</x:f>
        <x:v>0.073</x:v>
      </x:c>
      <x:c r="G10" s="85" t="n">
        <x:f>'01_Assumptions'!G75</x:f>
        <x:v>0.07</x:v>
      </x:c>
    </x:row>
    <x:row r="11" ht="22" customHeight="1">
      <x:c r="A11" s="78" t="str">
        <x:v>SBC (included in EBIT)</x:v>
      </x:c>
      <x:c r="B11" s="112" t="n">
        <x:f>B5*B10</x:f>
        <x:v>3700</x:v>
      </x:c>
      <x:c r="C11" s="112" t="n">
        <x:f>C5*C10</x:f>
        <x:v>4033.0000000000005</x:v>
      </x:c>
      <x:c r="D11" s="112" t="n">
        <x:f>D5*D10</x:f>
        <x:v>4246.749000000001</x:v>
      </x:c>
      <x:c r="E11" s="112" t="n">
        <x:f>E5*E10</x:f>
        <x:v>4369.251375000002</x:v>
      </x:c>
      <x:c r="F11" s="112" t="n">
        <x:f>F5*F10</x:f>
        <x:v>4507.9022853000015</x:v>
      </x:c>
      <x:c r="G11" s="112" t="n">
        <x:f>G5*G10</x:f>
        <x:v>4538.778328350002</x:v>
      </x:c>
    </x:row>
    <x:row r="12" ht="22" customHeight="1">
      <x:c r="A12" s="110" t="str">
        <x:v>GAAP operating income</x:v>
      </x:c>
      <x:c r="B12" s="113" t="n">
        <x:f>B5*B9-B11</x:f>
        <x:v>9296.250000000002</x:v>
      </x:c>
      <x:c r="C12" s="113" t="n">
        <x:f>C5*C9-C11</x:f>
        <x:v>11090.750000000002</x:v>
      </x:c>
      <x:c r="D12" s="113" t="n">
        <x:f>D5*D9-D11</x:f>
        <x:v>12794.692500000005</x:v>
      </x:c>
      <x:c r="E12" s="113" t="n">
        <x:f>E5*E9-E11</x:f>
        <x:v>14272.887825000003</x:v>
      </x:c>
      <x:c r="F12" s="113" t="n">
        <x:f>F5*F9-F11</x:f>
        <x:v>15438.021525000004</x:v>
      </x:c>
      <x:c r="G12" s="113" t="n">
        <x:f>G5*G9-G11</x:f>
        <x:v>16534.121053275005</x:v>
      </x:c>
    </x:row>
    <x:row r="13" ht="22" customHeight="1">
      <x:c r="A13" s="78" t="str">
        <x:v>GAAP operating margin</x:v>
      </x:c>
      <x:c r="B13" s="115" t="n">
        <x:f>B12/B5</x:f>
        <x:v>0.20100000000000004</x:v>
      </x:c>
      <x:c r="C13" s="115" t="n">
        <x:f>C12/C5</x:f>
        <x:v>0.22</x:v>
      </x:c>
      <x:c r="D13" s="115" t="n">
        <x:f>D12/D5</x:f>
        <x:v>0.23500000000000001</x:v>
      </x:c>
      <x:c r="E13" s="115" t="n">
        <x:f>E12/E5</x:f>
        <x:v>0.24499999999999997</x:v>
      </x:c>
      <x:c r="F13" s="115" t="n">
        <x:f>F12/F5</x:f>
        <x:v>0.24999999999999997</x:v>
      </x:c>
      <x:c r="G13" s="115" t="n">
        <x:f>G12/G5</x:f>
        <x:v>0.255</x:v>
      </x:c>
    </x:row>
    <x:row r="14" ht="22" customHeight="1">
      <x:c r="A14" s="78" t="str">
        <x:v>Net interest and other income</x:v>
      </x:c>
      <x:c r="B14" s="83" t="n">
        <x:f>'01_Assumptions'!B76</x:f>
        <x:v>-1464</x:v>
      </x:c>
      <x:c r="C14" s="83" t="n">
        <x:f>'01_Assumptions'!C76</x:f>
        <x:v>-1464</x:v>
      </x:c>
      <x:c r="D14" s="83" t="n">
        <x:f>'01_Assumptions'!D76</x:f>
        <x:v>-1464</x:v>
      </x:c>
      <x:c r="E14" s="83" t="n">
        <x:f>'01_Assumptions'!E76</x:f>
        <x:v>-1464</x:v>
      </x:c>
      <x:c r="F14" s="83" t="n">
        <x:f>'01_Assumptions'!F76</x:f>
        <x:v>-1464</x:v>
      </x:c>
      <x:c r="G14" s="83" t="n">
        <x:f>'01_Assumptions'!G76</x:f>
        <x:v>-1464</x:v>
      </x:c>
    </x:row>
    <x:row r="15" ht="22" customHeight="1">
      <x:c r="A15" s="78" t="str">
        <x:v>Income before tax</x:v>
      </x:c>
      <x:c r="B15" s="112" t="n">
        <x:f>SUM(B12,B14)</x:f>
        <x:v>7832.250000000002</x:v>
      </x:c>
      <x:c r="C15" s="112" t="n">
        <x:f>SUM(C12,C14)</x:f>
        <x:v>9626.750000000002</x:v>
      </x:c>
      <x:c r="D15" s="112" t="n">
        <x:f>SUM(D12,D14)</x:f>
        <x:v>11330.692500000005</x:v>
      </x:c>
      <x:c r="E15" s="112" t="n">
        <x:f>SUM(E12,E14)</x:f>
        <x:v>12808.887825000003</x:v>
      </x:c>
      <x:c r="F15" s="112" t="n">
        <x:f>SUM(F12,F14)</x:f>
        <x:v>13974.021525000004</x:v>
      </x:c>
      <x:c r="G15" s="112" t="n">
        <x:f>SUM(G12,G14)</x:f>
        <x:v>15070.121053275005</x:v>
      </x:c>
    </x:row>
    <x:row r="16" ht="22" customHeight="1">
      <x:c r="A16" s="78" t="str">
        <x:v>Normalized tax expense</x:v>
      </x:c>
      <x:c r="B16" s="83" t="n">
        <x:f>MAX(0,B15)*'01_Assumptions'!$B$16</x:f>
        <x:v>1840.5787500000004</x:v>
      </x:c>
      <x:c r="C16" s="83" t="n">
        <x:f>MAX(0,C15)*'01_Assumptions'!$B$16</x:f>
        <x:v>2262.28625</x:v>
      </x:c>
      <x:c r="D16" s="83" t="n">
        <x:f>MAX(0,D15)*'01_Assumptions'!$B$16</x:f>
        <x:v>2662.712737500001</x:v>
      </x:c>
      <x:c r="E16" s="83" t="n">
        <x:f>MAX(0,E15)*'01_Assumptions'!$B$16</x:f>
        <x:v>3010.0886388750005</x:v>
      </x:c>
      <x:c r="F16" s="83" t="n">
        <x:f>MAX(0,F15)*'01_Assumptions'!$B$16</x:f>
        <x:v>3283.8950583750006</x:v>
      </x:c>
      <x:c r="G16" s="83" t="n">
        <x:f>MAX(0,G15)*'01_Assumptions'!$B$16</x:f>
        <x:v>3541.478447519626</x:v>
      </x:c>
    </x:row>
    <x:row r="17" ht="22" customHeight="1">
      <x:c r="A17" s="78" t="str">
        <x:v>Consolidated net income</x:v>
      </x:c>
      <x:c r="B17" s="112" t="n">
        <x:f>B15-B16</x:f>
        <x:v>5991.671250000001</x:v>
      </x:c>
      <x:c r="C17" s="112" t="n">
        <x:f>C15-C16</x:f>
        <x:v>7364.463750000002</x:v>
      </x:c>
      <x:c r="D17" s="112" t="n">
        <x:f>D15-D16</x:f>
        <x:v>8667.979762500003</x:v>
      </x:c>
      <x:c r="E17" s="112" t="n">
        <x:f>E15-E16</x:f>
        <x:v>9798.799186125003</x:v>
      </x:c>
      <x:c r="F17" s="112" t="n">
        <x:f>F15-F16</x:f>
        <x:v>10690.126466625003</x:v>
      </x:c>
      <x:c r="G17" s="112" t="n">
        <x:f>G15-G16</x:f>
        <x:v>11528.642605755378</x:v>
      </x:c>
    </x:row>
    <x:row r="18" ht="22" customHeight="1">
      <x:c r="A18" s="78" t="str">
        <x:v>NCI income (assumed zero)</x:v>
      </x:c>
      <x:c r="B18" s="95" t="n">
        <x:v>0</x:v>
      </x:c>
      <x:c r="C18" s="95" t="n">
        <x:v>0</x:v>
      </x:c>
      <x:c r="D18" s="95" t="n">
        <x:v>0</x:v>
      </x:c>
      <x:c r="E18" s="95" t="n">
        <x:v>0</x:v>
      </x:c>
      <x:c r="F18" s="95" t="n">
        <x:v>0</x:v>
      </x:c>
      <x:c r="G18" s="95" t="n">
        <x:v>0</x:v>
      </x:c>
    </x:row>
    <x:row r="19" ht="22" customHeight="1">
      <x:c r="A19" s="110" t="str">
        <x:v>Net income attributable to parent</x:v>
      </x:c>
      <x:c r="B19" s="113" t="n">
        <x:f>B17-B18</x:f>
        <x:v>5991.671250000001</x:v>
      </x:c>
      <x:c r="C19" s="113" t="n">
        <x:f>C17-C18</x:f>
        <x:v>7364.463750000002</x:v>
      </x:c>
      <x:c r="D19" s="113" t="n">
        <x:f>D17-D18</x:f>
        <x:v>8667.979762500003</x:v>
      </x:c>
      <x:c r="E19" s="113" t="n">
        <x:f>E17-E18</x:f>
        <x:v>9798.799186125003</x:v>
      </x:c>
      <x:c r="F19" s="113" t="n">
        <x:f>F17-F18</x:f>
        <x:v>10690.126466625003</x:v>
      </x:c>
      <x:c r="G19" s="113" t="n">
        <x:f>G17-G18</x:f>
        <x:v>11528.642605755378</x:v>
      </x:c>
    </x:row>
    <x:row r="20" ht="22" customHeight="1">
      <x:c r="A20" s="78" t="str">
        <x:v>Weighted diluted shares</x:v>
      </x:c>
      <x:c r="B20" s="83" t="n">
        <x:f>'01_Assumptions'!B77</x:f>
        <x:v>845</x:v>
      </x:c>
      <x:c r="C20" s="83" t="n">
        <x:f>'01_Assumptions'!C77</x:f>
        <x:v>825</x:v>
      </x:c>
      <x:c r="D20" s="83" t="n">
        <x:f>'01_Assumptions'!D77</x:f>
        <x:v>825</x:v>
      </x:c>
      <x:c r="E20" s="83" t="n">
        <x:f>'01_Assumptions'!E77</x:f>
        <x:v>825</x:v>
      </x:c>
      <x:c r="F20" s="83" t="n">
        <x:f>'01_Assumptions'!F77</x:f>
        <x:v>825</x:v>
      </x:c>
      <x:c r="G20" s="83" t="n">
        <x:f>'01_Assumptions'!G77</x:f>
        <x:v>825</x:v>
      </x:c>
    </x:row>
    <x:row r="21" ht="22" customHeight="1">
      <x:c r="A21" s="110" t="str">
        <x:v>Standalone diluted EPS</x:v>
      </x:c>
      <x:c r="B21" s="120" t="n">
        <x:f>B19/B20</x:f>
        <x:v>7.090735207100593</x:v>
      </x:c>
      <x:c r="C21" s="120" t="n">
        <x:f>C19/C20</x:f>
        <x:v>8.92662272727273</x:v>
      </x:c>
      <x:c r="D21" s="120" t="n">
        <x:f>D19/D20</x:f>
        <x:v>10.50664213636364</x:v>
      </x:c>
      <x:c r="E21" s="120" t="n">
        <x:f>E19/E20</x:f>
        <x:v>11.877332346818186</x:v>
      </x:c>
      <x:c r="F21" s="120" t="n">
        <x:f>F19/F20</x:f>
        <x:v>12.95772905045455</x:v>
      </x:c>
      <x:c r="G21" s="120" t="n">
        <x:f>G19/G20</x:f>
        <x:v>13.974112249400457</x:v>
      </x:c>
    </x:row>
    <x:row r="22" ht="22" customHeight="1">
      <x:c r="A22" s="78" t="str">
        <x:v>D&amp;A excluding commissions</x:v>
      </x:c>
      <x:c r="B22" s="83" t="n">
        <x:f>B5*'01_Assumptions'!B78</x:f>
        <x:v>3931.2500000000005</x:v>
      </x:c>
      <x:c r="C22" s="83" t="n">
        <x:f>C5*'01_Assumptions'!C78</x:f>
        <x:v>4033.0000000000005</x:v>
      </x:c>
      <x:c r="D22" s="83" t="n">
        <x:f>D5*'01_Assumptions'!D78</x:f>
        <x:v>4083.412500000001</x:v>
      </x:c>
      <x:c r="E22" s="83" t="n">
        <x:f>E5*'01_Assumptions'!E78</x:f>
        <x:v>4077.9679500000016</x:v>
      </x:c>
      <x:c r="F22" s="83" t="n">
        <x:f>F5*'01_Assumptions'!F78</x:f>
        <x:v>4013.8855965000016</x:v>
      </x:c>
      <x:c r="G22" s="83" t="n">
        <x:f>G5*'01_Assumptions'!G78</x:f>
        <x:v>3890.381424300001</x:v>
      </x:c>
    </x:row>
    <x:row r="23" ht="22" customHeight="1">
      <x:c r="A23" s="78" t="str">
        <x:v>Capex</x:v>
      </x:c>
      <x:c r="B23" s="83" t="n">
        <x:f>B5*'01_Assumptions'!B79</x:f>
        <x:v>693.75</x:v>
      </x:c>
      <x:c r="C23" s="83" t="n">
        <x:f>C5*'01_Assumptions'!C79</x:f>
        <x:v>756.1875000000001</x:v>
      </x:c>
      <x:c r="D23" s="83" t="n">
        <x:f>D5*'01_Assumptions'!D79</x:f>
        <x:v>816.6825000000002</x:v>
      </x:c>
      <x:c r="E23" s="83" t="n">
        <x:f>E5*'01_Assumptions'!E79</x:f>
        <x:v>873.8502750000002</x:v>
      </x:c>
      <x:c r="F23" s="83" t="n">
        <x:f>F5*'01_Assumptions'!F79</x:f>
        <x:v>926.2812915000003</x:v>
      </x:c>
      <x:c r="G23" s="83" t="n">
        <x:f>G5*'01_Assumptions'!G79</x:f>
        <x:v>972.5953560750003</x:v>
      </x:c>
    </x:row>
    <x:row r="24" ht="22" customHeight="1">
      <x:c r="A24" s="110" t="str">
        <x:v>EBIT before SBC (supplemental)</x:v>
      </x:c>
      <x:c r="B24" s="113" t="n">
        <x:f>B12+B11</x:f>
        <x:v>12996.250000000002</x:v>
      </x:c>
      <x:c r="C24" s="113" t="n">
        <x:f>C12+C11</x:f>
        <x:v>15123.750000000002</x:v>
      </x:c>
      <x:c r="D24" s="113" t="n">
        <x:f>D12+D11</x:f>
        <x:v>17041.441500000004</x:v>
      </x:c>
      <x:c r="E24" s="113" t="n">
        <x:f>E12+E11</x:f>
        <x:v>18642.139200000005</x:v>
      </x:c>
      <x:c r="F24" s="113" t="n">
        <x:f>F12+F11</x:f>
        <x:v>19945.923810300006</x:v>
      </x:c>
      <x:c r="G24" s="113" t="n">
        <x:f>G12+G11</x:f>
        <x:v>21072.899381625008</x:v>
      </x:c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0" customHeight="1">
      <x:c r="A27" s="7" t="str">
        <x:v>Scope: acquirer income / EPS forecast; no acquirer DCF or full cash-flow forecast. D&amp;A supports the leverage proxy. No future strategic gains; no further buybacks. Target DCF is on 07_Valuation_DCF.</x:v>
      </x:c>
      <x:c r="B27" s="81"/>
      <x:c r="C27" s="81"/>
      <x:c r="D27" s="81"/>
      <x:c r="E27" s="81"/>
      <x:c r="F27" s="81"/>
      <x:c r="G27" s="81"/>
    </x:row>
    <x:row r="28" ht="20" customHeight="1">
      <x:c r="A28" s="7"/>
      <x:c r="B28" s="81"/>
      <x:c r="C28" s="81"/>
      <x:c r="D28" s="81"/>
      <x:c r="E28" s="81"/>
      <x:c r="F28" s="81"/>
      <x:c r="G28" s="81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27:G28"/>
  </x:mergeCells>
  <x:pageMargins left="0.7" right="0.7" top="0.75" bottom="0.75" header="0.3" footer="0.3"/>
  <x:legacyDrawing xmlns:r="http://schemas.openxmlformats.org/officeDocument/2006/relationships" r:id="R62222e674bf846f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GTLB Historical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FY2024A</x:v>
      </x:c>
      <x:c r="C4" s="109" t="str">
        <x:v>FY2025A</x:v>
      </x:c>
      <x:c r="D4" s="109" t="str">
        <x:v>FY2026A</x:v>
      </x:c>
      <x:c r="E4" s="109" t="str">
        <x:v>H1 FY2026A</x:v>
      </x:c>
      <x:c r="F4" s="109" t="str">
        <x:v>H1 FY2027A</x:v>
      </x:c>
      <x:c r="G4" s="109" t="str">
        <x:v>LTM Jul-26</x:v>
      </x:c>
    </x:row>
    <x:row r="5" ht="22" customHeight="1">
      <x:c r="A5" s="78" t="str">
        <x:v>Revenue</x:v>
      </x:c>
      <x:c r="B5" s="95" t="n">
        <x:v>579.906</x:v>
      </x:c>
      <x:c r="C5" s="95" t="n">
        <x:v>759.249</x:v>
      </x:c>
      <x:c r="D5" s="95" t="n">
        <x:v>955.224</x:v>
      </x:c>
      <x:c r="E5" s="95" t="n">
        <x:v>450.469</x:v>
      </x:c>
      <x:c r="F5" s="95" t="n">
        <x:v>550.412</x:v>
      </x:c>
      <x:c r="G5" s="112" t="n">
        <x:f>D5+F5-E5</x:f>
        <x:v>1055.167</x:v>
      </x:c>
    </x:row>
    <x:row r="6" ht="22" customHeight="1">
      <x:c r="A6" s="78" t="str">
        <x:v>Cost of revenue</x:v>
      </x:c>
      <x:c r="B6" s="95" t="n">
        <x:v>59.708</x:v>
      </x:c>
      <x:c r="C6" s="95" t="n">
        <x:v>85.14</x:v>
      </x:c>
      <x:c r="D6" s="95" t="n">
        <x:v>120.743</x:v>
      </x:c>
      <x:c r="E6" s="95" t="n">
        <x:v>53.54</x:v>
      </x:c>
      <x:c r="F6" s="95" t="n">
        <x:v>83.126</x:v>
      </x:c>
      <x:c r="G6" s="112" t="n">
        <x:f>D6+F6-E6</x:f>
        <x:v>150.329</x:v>
      </x:c>
    </x:row>
    <x:row r="7" ht="22" customHeight="1">
      <x:c r="A7" s="110" t="str">
        <x:v>Gross profit</x:v>
      </x:c>
      <x:c r="B7" s="113" t="n">
        <x:f>B5-B6</x:f>
        <x:v>520.198</x:v>
      </x:c>
      <x:c r="C7" s="113" t="n">
        <x:f>C5-C6</x:f>
        <x:v>674.109</x:v>
      </x:c>
      <x:c r="D7" s="113" t="n">
        <x:f>D5-D6</x:f>
        <x:v>834.481</x:v>
      </x:c>
      <x:c r="E7" s="113" t="n">
        <x:f>E5-E6</x:f>
        <x:v>396.929</x:v>
      </x:c>
      <x:c r="F7" s="113" t="n">
        <x:f>F5-F6</x:f>
        <x:v>467.28600000000006</x:v>
      </x:c>
      <x:c r="G7" s="113" t="n">
        <x:f>D7+F7-E7</x:f>
        <x:v>904.8380000000001</x:v>
      </x:c>
    </x:row>
    <x:row r="8" ht="22" customHeight="1">
      <x:c r="A8" s="78" t="str">
        <x:v>Sales and marketing</x:v>
      </x:c>
      <x:c r="B8" s="95" t="n">
        <x:v>356.393</x:v>
      </x:c>
      <x:c r="C8" s="95" t="n">
        <x:v>384.295</x:v>
      </x:c>
      <x:c r="D8" s="95" t="n">
        <x:v>434.725</x:v>
      </x:c>
      <x:c r="E8" s="95" t="n">
        <x:v>217.17</x:v>
      </x:c>
      <x:c r="F8" s="95" t="n">
        <x:v>253.721</x:v>
      </x:c>
      <x:c r="G8" s="112" t="n">
        <x:f>D8+F8-E8</x:f>
        <x:v>471.27600000000007</x:v>
      </x:c>
    </x:row>
    <x:row r="9" ht="22" customHeight="1">
      <x:c r="A9" s="78" t="str">
        <x:v>Research and development</x:v>
      </x:c>
      <x:c r="B9" s="95" t="n">
        <x:v>200.84</x:v>
      </x:c>
      <x:c r="C9" s="95" t="n">
        <x:v>239.652</x:v>
      </x:c>
      <x:c r="D9" s="95" t="n">
        <x:v>274.574</x:v>
      </x:c>
      <x:c r="E9" s="95" t="n">
        <x:v>136.898</x:v>
      </x:c>
      <x:c r="F9" s="95" t="n">
        <x:v>166.462</x:v>
      </x:c>
      <x:c r="G9" s="112" t="n">
        <x:f>D9+F9-E9</x:f>
        <x:v>304.13800000000003</x:v>
      </x:c>
    </x:row>
    <x:row r="10" ht="22" customHeight="1">
      <x:c r="A10" s="78" t="str">
        <x:v>General and administrative</x:v>
      </x:c>
      <x:c r="B10" s="95" t="n">
        <x:v>150.405</x:v>
      </x:c>
      <x:c r="C10" s="95" t="n">
        <x:v>192.877</x:v>
      </x:c>
      <x:c r="D10" s="95" t="n">
        <x:v>195.663</x:v>
      </x:c>
      <x:c r="E10" s="95" t="n">
        <x:v>95.822</x:v>
      </x:c>
      <x:c r="F10" s="95" t="n">
        <x:v>119.787</x:v>
      </x:c>
      <x:c r="G10" s="112" t="n">
        <x:f>D10+F10-E10</x:f>
        <x:v>219.62800000000004</x:v>
      </x:c>
    </x:row>
    <x:row r="11" ht="22" customHeight="1">
      <x:c r="A11" s="78" t="str">
        <x:v>Restructuring</x:v>
      </x:c>
      <x:c r="B11" s="95" t="n">
        <x:v>0</x:v>
      </x:c>
      <x:c r="C11" s="95" t="n">
        <x:v>0</x:v>
      </x:c>
      <x:c r="D11" s="95" t="n">
        <x:v>0</x:v>
      </x:c>
      <x:c r="E11" s="95" t="n">
        <x:v>0</x:v>
      </x:c>
      <x:c r="F11" s="95" t="n">
        <x:v>0</x:v>
      </x:c>
      <x:c r="G11" s="112" t="n">
        <x:f>D11+F11-E11</x:f>
        <x:v>0</x:v>
      </x:c>
    </x:row>
    <x:row r="12" ht="22" customHeight="1">
      <x:c r="A12" s="110" t="str">
        <x:v>GAAP operating income</x:v>
      </x:c>
      <x:c r="B12" s="113" t="n">
        <x:f>B7-SUM(B8:B11)</x:f>
        <x:v>-187.43999999999994</x:v>
      </x:c>
      <x:c r="C12" s="113" t="n">
        <x:f>C7-SUM(C8:C11)</x:f>
        <x:v>-142.71500000000003</x:v>
      </x:c>
      <x:c r="D12" s="113" t="n">
        <x:f>D7-SUM(D8:D11)</x:f>
        <x:v>-70.481</x:v>
      </x:c>
      <x:c r="E12" s="113" t="n">
        <x:f>E7-SUM(E8:E11)</x:f>
        <x:v>-52.96100000000001</x:v>
      </x:c>
      <x:c r="F12" s="113" t="n">
        <x:f>F7-SUM(F8:F11)</x:f>
        <x:v>-72.68399999999997</x:v>
      </x:c>
      <x:c r="G12" s="113" t="n">
        <x:f>D12+F12-E12</x:f>
        <x:v>-90.20399999999995</x:v>
      </x:c>
    </x:row>
    <x:row r="13" ht="22" customHeight="1">
      <x:c r="A13" s="78" t="str">
        <x:v>Strategic investment gains</x:v>
      </x:c>
      <x:c r="B13" s="95" t="n">
        <x:v>0</x:v>
      </x:c>
      <x:c r="C13" s="95" t="n">
        <x:v>0</x:v>
      </x:c>
      <x:c r="D13" s="95" t="n">
        <x:v>0</x:v>
      </x:c>
      <x:c r="E13" s="95" t="n">
        <x:v>0</x:v>
      </x:c>
      <x:c r="F13" s="95" t="n">
        <x:v>0</x:v>
      </x:c>
      <x:c r="G13" s="112" t="n">
        <x:f>D13+F13-E13</x:f>
        <x:v>0</x:v>
      </x:c>
    </x:row>
    <x:row r="14" ht="22" customHeight="1">
      <x:c r="A14" s="78" t="str">
        <x:v>Net other income incl. interest</x:v>
      </x:c>
      <x:c r="B14" s="95" t="n">
        <x:v>23.049</x:v>
      </x:c>
      <x:c r="C14" s="95" t="n">
        <x:v>56.922</x:v>
      </x:c>
      <x:c r="D14" s="95" t="n">
        <x:v>22.416</x:v>
      </x:c>
      <x:c r="E14" s="95" t="n">
        <x:v>11.491</x:v>
      </x:c>
      <x:c r="F14" s="95" t="n">
        <x:v>29.81</x:v>
      </x:c>
      <x:c r="G14" s="112" t="n">
        <x:f>D14+F14-E14</x:f>
        <x:v>40.735</x:v>
      </x:c>
    </x:row>
    <x:row r="15" ht="22" customHeight="1">
      <x:c r="A15" s="78" t="str">
        <x:v>Income before tax</x:v>
      </x:c>
      <x:c r="B15" s="112" t="n">
        <x:f>SUM(B12:B14)</x:f>
        <x:v>-164.39099999999993</x:v>
      </x:c>
      <x:c r="C15" s="112" t="n">
        <x:f>SUM(C12:C14)</x:f>
        <x:v>-85.79300000000003</x:v>
      </x:c>
      <x:c r="D15" s="112" t="n">
        <x:f>SUM(D12:D14)</x:f>
        <x:v>-48.065</x:v>
      </x:c>
      <x:c r="E15" s="112" t="n">
        <x:f>SUM(E12:E14)</x:f>
        <x:v>-41.47000000000001</x:v>
      </x:c>
      <x:c r="F15" s="112" t="n">
        <x:f>SUM(F12:F14)</x:f>
        <x:v>-42.87399999999997</x:v>
      </x:c>
      <x:c r="G15" s="112" t="n">
        <x:f>D15+F15-E15</x:f>
        <x:v>-49.46899999999995</x:v>
      </x:c>
    </x:row>
    <x:row r="16" ht="22" customHeight="1">
      <x:c r="A16" s="78" t="str">
        <x:v>Tax expense</x:v>
      </x:c>
      <x:c r="B16" s="95" t="n">
        <x:v>265.145</x:v>
      </x:c>
      <x:c r="C16" s="95" t="n">
        <x:v>-76.674</x:v>
      </x:c>
      <x:c r="D16" s="95" t="n">
        <x:v>10.499</x:v>
      </x:c>
      <x:c r="E16" s="95" t="n">
        <x:v>4.784</x:v>
      </x:c>
      <x:c r="F16" s="95" t="n">
        <x:v>-1.163</x:v>
      </x:c>
      <x:c r="G16" s="112" t="n">
        <x:f>D16+F16-E16</x:f>
        <x:v>4.5520000000000005</x:v>
      </x:c>
    </x:row>
    <x:row r="17" ht="22" customHeight="1">
      <x:c r="A17" s="78" t="str">
        <x:v>Consolidated net income</x:v>
      </x:c>
      <x:c r="B17" s="112" t="n">
        <x:f>B15-B16</x:f>
        <x:v>-429.53599999999994</x:v>
      </x:c>
      <x:c r="C17" s="112" t="n">
        <x:f>C15-C16</x:f>
        <x:v>-9.119000000000028</x:v>
      </x:c>
      <x:c r="D17" s="112" t="n">
        <x:f>D15-D16</x:f>
        <x:v>-58.564</x:v>
      </x:c>
      <x:c r="E17" s="112" t="n">
        <x:f>E15-E16</x:f>
        <x:v>-46.25400000000001</x:v>
      </x:c>
      <x:c r="F17" s="112" t="n">
        <x:f>F15-F16</x:f>
        <x:v>-41.71099999999997</x:v>
      </x:c>
      <x:c r="G17" s="112" t="n">
        <x:f>D17+F17-E17</x:f>
        <x:v>-54.020999999999965</x:v>
      </x:c>
    </x:row>
    <x:row r="18" ht="22" customHeight="1">
      <x:c r="A18" s="78" t="str">
        <x:v>NCI income (loss)</x:v>
      </x:c>
      <x:c r="B18" s="95" t="n">
        <x:v>-3.859</x:v>
      </x:c>
      <x:c r="C18" s="95" t="n">
        <x:v>-2.793</x:v>
      </x:c>
      <x:c r="D18" s="95" t="n">
        <x:v>-2.608</x:v>
      </x:c>
      <x:c r="E18" s="95" t="n">
        <x:v>-1.171</x:v>
      </x:c>
      <x:c r="F18" s="95" t="n">
        <x:v>0.105</x:v>
      </x:c>
      <x:c r="G18" s="112" t="n">
        <x:f>D18+F18-E18</x:f>
        <x:v>-1.332</x:v>
      </x:c>
    </x:row>
    <x:row r="19" ht="22" customHeight="1">
      <x:c r="A19" s="110" t="str">
        <x:v>Net income attributable to parent</x:v>
      </x:c>
      <x:c r="B19" s="113" t="n">
        <x:f>B17-B18</x:f>
        <x:v>-425.67699999999996</x:v>
      </x:c>
      <x:c r="C19" s="113" t="n">
        <x:f>C17-C18</x:f>
        <x:v>-6.326000000000028</x:v>
      </x:c>
      <x:c r="D19" s="113" t="n">
        <x:f>D17-D18</x:f>
        <x:v>-55.956</x:v>
      </x:c>
      <x:c r="E19" s="113" t="n">
        <x:f>E17-E18</x:f>
        <x:v>-45.08300000000001</x:v>
      </x:c>
      <x:c r="F19" s="113" t="n">
        <x:f>F17-F18</x:f>
        <x:v>-41.81599999999997</x:v>
      </x:c>
      <x:c r="G19" s="113" t="n">
        <x:f>D19+F19-E19</x:f>
        <x:v>-52.68899999999995</x:v>
      </x:c>
    </x:row>
    <x:row r="20" ht="22" customHeight="1">
      <x:c r="A20" s="78" t="str">
        <x:v>Weighted diluted shares</x:v>
      </x:c>
      <x:c r="B20" s="95" t="n">
        <x:v>154.283</x:v>
      </x:c>
      <x:c r="C20" s="95" t="n">
        <x:v>160.58</x:v>
      </x:c>
      <x:c r="D20" s="95" t="n">
        <x:v>166.792</x:v>
      </x:c>
      <x:c r="E20" s="95" t="n">
        <x:v>165.233</x:v>
      </x:c>
      <x:c r="F20" s="95" t="n">
        <x:v>169.313</x:v>
      </x:c>
      <x:c r="G20" s="83" t="n">
        <x:f>D20+'01_Assumptions'!$B$45*(F20-E20)</x:f>
        <x:v>168.832</x:v>
      </x:c>
    </x:row>
    <x:row r="21" ht="22" customHeight="1">
      <x:c r="A21" s="78" t="str">
        <x:v>Reported diluted EPS</x:v>
      </x:c>
      <x:c r="B21" s="92" t="n">
        <x:v>-2.76</x:v>
      </x:c>
      <x:c r="C21" s="92" t="n">
        <x:v>-0.04</x:v>
      </x:c>
      <x:c r="D21" s="92" t="n">
        <x:v>-0.34</x:v>
      </x:c>
      <x:c r="E21" s="92" t="n">
        <x:v>-0.27</x:v>
      </x:c>
      <x:c r="F21" s="92" t="n">
        <x:v>-0.25</x:v>
      </x:c>
      <x:c r="G21" s="114" t="n">
        <x:f>G19/G20</x:f>
        <x:v>-0.31207946360879424</x:v>
      </x:c>
    </x:row>
    <x:row r="22" ht="22" customHeight="1">
      <x:c r="A22" s="78" t="str">
        <x:v>SBC (cash-flow adjustment)</x:v>
      </x:c>
      <x:c r="B22" s="95" t="n">
        <x:v>163.049</x:v>
      </x:c>
      <x:c r="C22" s="95" t="n">
        <x:v>185.899</x:v>
      </x:c>
      <x:c r="D22" s="95" t="n">
        <x:v>214.951</x:v>
      </x:c>
      <x:c r="E22" s="95" t="n">
        <x:v>110.111</x:v>
      </x:c>
      <x:c r="F22" s="95" t="n">
        <x:v>125.067</x:v>
      </x:c>
      <x:c r="G22" s="112" t="n">
        <x:f>D22+F22-E22</x:f>
        <x:v>229.90699999999998</x:v>
      </x:c>
    </x:row>
    <x:row r="23" ht="22" customHeight="1">
      <x:c r="A23" s="78" t="str">
        <x:v>D&amp;A</x:v>
      </x:c>
      <x:c r="B23" s="95" t="n">
        <x:v>6.535</x:v>
      </x:c>
      <x:c r="C23" s="95" t="n">
        <x:v>10.986</x:v>
      </x:c>
      <x:c r="D23" s="95" t="n">
        <x:v>11.345</x:v>
      </x:c>
      <x:c r="E23" s="95" t="n">
        <x:v>5.35</x:v>
      </x:c>
      <x:c r="F23" s="95" t="n">
        <x:v>6.67</x:v>
      </x:c>
      <x:c r="G23" s="112" t="n">
        <x:f>D23+F23-E23</x:f>
        <x:v>12.665000000000001</x:v>
      </x:c>
    </x:row>
    <x:row r="24" ht="22" customHeight="1">
      <x:c r="A24" s="78" t="str">
        <x:v>Capex</x:v>
      </x:c>
      <x:c r="B24" s="95" t="n">
        <x:v>1.598</x:v>
      </x:c>
      <x:c r="C24" s="95" t="n">
        <x:v>3.765</x:v>
      </x:c>
      <x:c r="D24" s="95" t="n">
        <x:v>10.827</x:v>
      </x:c>
      <x:c r="E24" s="95" t="n">
        <x:v>3.816</x:v>
      </x:c>
      <x:c r="F24" s="95" t="n">
        <x:v>2.606</x:v>
      </x:c>
      <x:c r="G24" s="112" t="n">
        <x:f>D24+F24-E24</x:f>
        <x:v>9.617</x:v>
      </x:c>
    </x:row>
    <x:row r="25" ht="22" customHeight="1">
      <x:c r="A25" s="78" t="str">
        <x:v>Operating cash flow</x:v>
      </x:c>
      <x:c r="B25" s="95" t="n">
        <x:v>35.04</x:v>
      </x:c>
      <x:c r="C25" s="95" t="n">
        <x:v>-63.971</x:v>
      </x:c>
      <x:c r="D25" s="95" t="n">
        <x:v>232.856</x:v>
      </x:c>
      <x:c r="E25" s="95" t="n">
        <x:v>155.671</x:v>
      </x:c>
      <x:c r="F25" s="95" t="n">
        <x:v>146.105</x:v>
      </x:c>
      <x:c r="G25" s="112" t="n">
        <x:f>D25+F25-E25</x:f>
        <x:v>223.29000000000002</x:v>
      </x:c>
    </x:row>
    <x:row r="26" ht="22" customHeight="1">
      <x:c r="A26" s="110" t="str">
        <x:v>Unadjusted free cash flow</x:v>
      </x:c>
      <x:c r="B26" s="113" t="n">
        <x:f>B25-B24</x:f>
        <x:v>33.442</x:v>
      </x:c>
      <x:c r="C26" s="113" t="n">
        <x:f>C25-C24</x:f>
        <x:v>-67.73599999999999</x:v>
      </x:c>
      <x:c r="D26" s="113" t="n">
        <x:f>D25-D24</x:f>
        <x:v>222.029</x:v>
      </x:c>
      <x:c r="E26" s="113" t="n">
        <x:f>E25-E24</x:f>
        <x:v>151.855</x:v>
      </x:c>
      <x:c r="F26" s="113" t="n">
        <x:f>F25-F24</x:f>
        <x:v>143.499</x:v>
      </x:c>
      <x:c r="G26" s="113" t="n">
        <x:f>D26+F26-E26</x:f>
        <x:v>213.67300000000003</x:v>
      </x:c>
    </x:row>
    <x:row r="27" ht="22" customHeight="1">
      <x:c r="A27" s="78" t="str">
        <x:v>Gross margin</x:v>
      </x:c>
      <x:c r="B27" s="115" t="n">
        <x:f>B7/B5</x:f>
        <x:v>0.8970384855476577</x:v>
      </x:c>
      <x:c r="C27" s="115" t="n">
        <x:f>C7/C5</x:f>
        <x:v>0.8878628750251893</x:v>
      </x:c>
      <x:c r="D27" s="115" t="n">
        <x:f>D7/D5</x:f>
        <x:v>0.8735971876753514</x:v>
      </x:c>
      <x:c r="E27" s="115" t="n">
        <x:f>E7/E5</x:f>
        <x:v>0.8811460944038324</x:v>
      </x:c>
      <x:c r="F27" s="115" t="n">
        <x:f>F7/F5</x:f>
        <x:v>0.8489749496740624</x:v>
      </x:c>
      <x:c r="G27" s="115" t="n">
        <x:f>G7/G5</x:f>
        <x:v>0.8575306088988759</x:v>
      </x:c>
    </x:row>
    <x:row r="28" ht="30" customHeight="1">
      <x:c r="A28" s="78" t="str">
        <x:v>Revenue growth</x:v>
      </x:c>
      <x:c r="B28" s="169" t="str">
        <x:v>—</x:v>
      </x:c>
      <x:c r="C28" s="117" t="n">
        <x:f>C5/B5-1</x:f>
        <x:v>0.30926219076884887</x:v>
      </x:c>
      <x:c r="D28" s="117" t="n">
        <x:f>D5/C5-1</x:f>
        <x:v>0.2581169023600953</x:v>
      </x:c>
      <x:c r="E28" s="169" t="str">
        <x:v>—</x:v>
      </x:c>
      <x:c r="F28" s="117" t="n">
        <x:f>F5/E5-1</x:f>
        <x:v>0.22186432362715314</x:v>
      </x:c>
      <x:c r="G28" s="169" t="str">
        <x:v>—</x:v>
      </x:c>
    </x:row>
    <x:row r="29" ht="22" customHeight="1">
      <x:c r="A29" s="78" t="str">
        <x:v>GAAP operating margin</x:v>
      </x:c>
      <x:c r="B29" s="115" t="n">
        <x:f>B12/B5</x:f>
        <x:v>-0.32322479850182606</x:v>
      </x:c>
      <x:c r="C29" s="115" t="n">
        <x:f>C12/C5</x:f>
        <x:v>-0.1879686374298814</x:v>
      </x:c>
      <x:c r="D29" s="115" t="n">
        <x:f>D12/D5</x:f>
        <x:v>-0.07378478765190154</x:v>
      </x:c>
      <x:c r="E29" s="115" t="n">
        <x:f>E12/E5</x:f>
        <x:v>-0.11756857852593633</x:v>
      </x:c>
      <x:c r="F29" s="115" t="n">
        <x:f>F12/F5</x:f>
        <x:v>-0.13205380696641783</x:v>
      </x:c>
      <x:c r="G29" s="115" t="n">
        <x:f>G12/G5</x:f>
        <x:v>-0.08548788959472763</x:v>
      </x:c>
    </x:row>
    <x:row r="30" ht="22" customHeight="1">
      <x:c r="A30" s="78" t="str">
        <x:v>Cash-flow SBC / revenue</x:v>
      </x:c>
      <x:c r="B30" s="115" t="n">
        <x:f>B22/B5</x:f>
        <x:v>0.281164533562336</x:v>
      </x:c>
      <x:c r="C30" s="115" t="n">
        <x:f>C22/C5</x:f>
        <x:v>0.2448458937713451</x:v>
      </x:c>
      <x:c r="D30" s="115" t="n">
        <x:f>D22/D5</x:f>
        <x:v>0.22502679999664998</x:v>
      </x:c>
      <x:c r="E30" s="115" t="n">
        <x:f>E22/E5</x:f>
        <x:v>0.24443635411093773</x:v>
      </x:c>
      <x:c r="F30" s="115" t="n">
        <x:f>F22/F5</x:f>
        <x:v>0.22722433377179274</x:v>
      </x:c>
      <x:c r="G30" s="115" t="n">
        <x:f>G22/G5</x:f>
        <x:v>0.2178868368703722</x:v>
      </x:c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6" customHeight="1">
      <x:c r="A33" s="111" t="str">
        <x:v>LATEST BALANCE SHEET | 31 JULY 2026</x:v>
      </x:c>
      <x:c r="B33" s="118"/>
      <x:c r="C33" s="118"/>
      <x:c r="D33" s="118"/>
      <x:c r="E33" s="118"/>
      <x:c r="F33" s="118"/>
      <x:c r="G33" s="118"/>
    </x:row>
    <x:row r="34" ht="22" customHeight="1">
      <x:c r="A34" s="78" t="str">
        <x:v>cash</x:v>
      </x:c>
      <x:c r="B34" s="95" t="n">
        <x:v>226.491</x:v>
      </x:c>
      <x:c r="C34" s="82"/>
      <x:c r="D34" s="82"/>
      <x:c r="E34" s="82"/>
      <x:c r="F34" s="82"/>
      <x:c r="G34" s="82"/>
    </x:row>
    <x:row r="35" ht="22" customHeight="1">
      <x:c r="A35" s="78" t="str">
        <x:v>investments</x:v>
      </x:c>
      <x:c r="B35" s="95" t="n">
        <x:v>1030.495</x:v>
      </x:c>
      <x:c r="C35" s="82"/>
      <x:c r="D35" s="82"/>
      <x:c r="E35" s="82"/>
      <x:c r="F35" s="82"/>
      <x:c r="G35" s="82"/>
    </x:row>
    <x:row r="36" ht="22" customHeight="1">
      <x:c r="A36" s="78" t="str">
        <x:v>debt</x:v>
      </x:c>
      <x:c r="B36" s="95" t="n">
        <x:v>0</x:v>
      </x:c>
      <x:c r="C36" s="82"/>
      <x:c r="D36" s="82"/>
      <x:c r="E36" s="82"/>
      <x:c r="F36" s="82"/>
      <x:c r="G36" s="82"/>
    </x:row>
    <x:row r="37" ht="22" customHeight="1">
      <x:c r="A37" s="78" t="str">
        <x:v>assets</x:v>
      </x:c>
      <x:c r="B37" s="95" t="n">
        <x:v>1661.832</x:v>
      </x:c>
      <x:c r="C37" s="82"/>
      <x:c r="D37" s="82"/>
      <x:c r="E37" s="82"/>
      <x:c r="F37" s="82"/>
      <x:c r="G37" s="82"/>
    </x:row>
    <x:row r="38" ht="22" customHeight="1">
      <x:c r="A38" s="78" t="str">
        <x:v>liabilities</x:v>
      </x:c>
      <x:c r="B38" s="95" t="n">
        <x:v>690.345</x:v>
      </x:c>
      <x:c r="C38" s="82"/>
      <x:c r="D38" s="82"/>
      <x:c r="E38" s="82"/>
      <x:c r="F38" s="82"/>
      <x:c r="G38" s="82"/>
    </x:row>
    <x:row r="39" ht="22" customHeight="1">
      <x:c r="A39" s="78" t="str">
        <x:v>parentEquity</x:v>
      </x:c>
      <x:c r="B39" s="95" t="n">
        <x:v>925.529</x:v>
      </x:c>
      <x:c r="C39" s="82"/>
      <x:c r="D39" s="82"/>
      <x:c r="E39" s="82"/>
      <x:c r="F39" s="82"/>
      <x:c r="G39" s="82"/>
    </x:row>
    <x:row r="40" ht="22" customHeight="1">
      <x:c r="A40" s="78" t="str">
        <x:v>nci</x:v>
      </x:c>
      <x:c r="B40" s="95" t="n">
        <x:v>45.958</x:v>
      </x:c>
      <x:c r="C40" s="82"/>
      <x:c r="D40" s="82"/>
      <x:c r="E40" s="82"/>
      <x:c r="F40" s="82"/>
      <x:c r="G40" s="82"/>
    </x:row>
    <x:row r="41" ht="22" customHeight="1">
      <x:c r="A41" s="78" t="str">
        <x:v>goodwill</x:v>
      </x:c>
      <x:c r="B41" s="95" t="n">
        <x:v>17.446</x:v>
      </x:c>
      <x:c r="C41" s="82"/>
      <x:c r="D41" s="82"/>
      <x:c r="E41" s="82"/>
      <x:c r="F41" s="82"/>
      <x:c r="G41" s="82"/>
    </x:row>
    <x:row r="42" ht="22" customHeight="1">
      <x:c r="A42" s="78" t="str">
        <x:v>intangibles</x:v>
      </x:c>
      <x:c r="B42" s="95" t="n">
        <x:v>5.744</x:v>
      </x:c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 t="str">
        <x:v>Balance sheet check</x:v>
      </x:c>
      <x:c r="B44" s="112" t="n">
        <x:f>B37-SUM(B38:B40)</x:f>
        <x:v>0</x:v>
      </x:c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0" customHeight="1">
      <x:c r="A46" s="7" t="str">
        <x:v>FY2025 uses later FY2026 comparative; FY2024 uses FY2025 release. FY2024 net other includes $3.824m equity-method loss. Restructuring is embedded in functional expenses. LTM EPS is derived, not summed.</x:v>
      </x:c>
      <x:c r="B46" s="81"/>
      <x:c r="C46" s="81"/>
      <x:c r="D46" s="81"/>
      <x:c r="E46" s="81"/>
      <x:c r="F46" s="81"/>
      <x:c r="G46" s="81"/>
    </x:row>
    <x:row r="47" ht="20" customHeight="1">
      <x:c r="A47" s="7"/>
      <x:c r="B47" s="81"/>
      <x:c r="C47" s="81"/>
      <x:c r="D47" s="81"/>
      <x:c r="E47" s="81"/>
      <x:c r="F47" s="81"/>
      <x:c r="G47" s="81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33:G33"/>
    <x:mergeCell ref="A46:G47"/>
  </x:mergeCells>
  <x:pageMargins left="0.7" right="0.7" top="0.75" bottom="0.75" header="0.3" footer="0.3"/>
  <x:legacyDrawing xmlns:r="http://schemas.openxmlformats.org/officeDocument/2006/relationships" r:id="Rf544b08a4eee448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GTLB Forecast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FY2027E</x:v>
      </x:c>
      <x:c r="C4" s="109" t="str">
        <x:v>FY2028E</x:v>
      </x:c>
      <x:c r="D4" s="109" t="str">
        <x:v>FY2029E</x:v>
      </x:c>
      <x:c r="E4" s="109" t="str">
        <x:v>FY2030E</x:v>
      </x:c>
      <x:c r="F4" s="109" t="str">
        <x:v>FY2031E</x:v>
      </x:c>
      <x:c r="G4" s="109" t="str">
        <x:v>FY2032E</x:v>
      </x:c>
    </x:row>
    <x:row r="5" ht="22" customHeight="1">
      <x:c r="A5" s="110" t="str">
        <x:v>Revenue</x:v>
      </x:c>
      <x:c r="B5" s="119" t="n">
        <x:f>AVERAGE('01_Assumptions'!$B$60,'01_Assumptions'!$B$61)</x:f>
        <x:v>1131</x:v>
      </x:c>
      <x:c r="C5" s="119" t="n">
        <x:f>B5*(1+'01_Assumptions'!C80)</x:f>
        <x:v>1334.58</x:v>
      </x:c>
      <x:c r="D5" s="119" t="n">
        <x:f>C5*(1+'01_Assumptions'!D80)</x:f>
        <x:v>1548.1127999999999</x:v>
      </x:c>
      <x:c r="E5" s="119" t="n">
        <x:f>D5*(1+'01_Assumptions'!E80)</x:f>
        <x:v>1764.848592</x:v>
      </x:c>
      <x:c r="F5" s="119" t="n">
        <x:f>E5*(1+'01_Assumptions'!F80)</x:f>
        <x:v>1976.6304230400003</x:v>
      </x:c>
      <x:c r="G5" s="119" t="n">
        <x:f>F5*(1+'01_Assumptions'!G80)</x:f>
        <x:v>2174.2934653440007</x:v>
      </x:c>
    </x:row>
    <x:row r="6" ht="22" customHeight="1">
      <x:c r="A6" s="78" t="str">
        <x:v>Revenue growth</x:v>
      </x:c>
      <x:c r="B6" s="85" t="n">
        <x:f>B5/'04_GTLB_Historical'!D5-1</x:f>
        <x:v>0.1840154769980653</x:v>
      </x:c>
      <x:c r="C6" s="115" t="n">
        <x:f>C5/B5-1</x:f>
        <x:v>0.17999999999999994</x:v>
      </x:c>
      <x:c r="D6" s="115" t="n">
        <x:f>D5/C5-1</x:f>
        <x:v>0.15999999999999992</x:v>
      </x:c>
      <x:c r="E6" s="115" t="n">
        <x:f>E5/D5-1</x:f>
        <x:v>0.14000000000000012</x:v>
      </x:c>
      <x:c r="F6" s="115" t="n">
        <x:f>F5/E5-1</x:f>
        <x:v>0.1200000000000001</x:v>
      </x:c>
      <x:c r="G6" s="115" t="n">
        <x:f>G5/F5-1</x:f>
        <x:v>0.10000000000000009</x:v>
      </x:c>
    </x:row>
    <x:row r="7" ht="22" customHeight="1">
      <x:c r="A7" s="78" t="str">
        <x:v>Gross margin</x:v>
      </x:c>
      <x:c r="B7" s="85" t="n">
        <x:f>'01_Assumptions'!B81</x:f>
        <x:v>0.85</x:v>
      </x:c>
      <x:c r="C7" s="85" t="n">
        <x:f>'01_Assumptions'!C81</x:f>
        <x:v>0.86</x:v>
      </x:c>
      <x:c r="D7" s="85" t="n">
        <x:f>'01_Assumptions'!D81</x:f>
        <x:v>0.865</x:v>
      </x:c>
      <x:c r="E7" s="85" t="n">
        <x:f>'01_Assumptions'!E81</x:f>
        <x:v>0.87</x:v>
      </x:c>
      <x:c r="F7" s="85" t="n">
        <x:f>'01_Assumptions'!F81</x:f>
        <x:v>0.87</x:v>
      </x:c>
      <x:c r="G7" s="85" t="n">
        <x:f>'01_Assumptions'!G81</x:f>
        <x:v>0.87</x:v>
      </x:c>
    </x:row>
    <x:row r="8" ht="22" customHeight="1">
      <x:c r="A8" s="78" t="str">
        <x:v>Gross profit</x:v>
      </x:c>
      <x:c r="B8" s="112" t="n">
        <x:f>B5*B7</x:f>
        <x:v>961.35</x:v>
      </x:c>
      <x:c r="C8" s="112" t="n">
        <x:f>C5*C7</x:f>
        <x:v>1147.7387999999999</x:v>
      </x:c>
      <x:c r="D8" s="112" t="n">
        <x:f>D5*D7</x:f>
        <x:v>1339.1175719999999</x:v>
      </x:c>
      <x:c r="E8" s="112" t="n">
        <x:f>E5*E7</x:f>
        <x:v>1535.41827504</x:v>
      </x:c>
      <x:c r="F8" s="112" t="n">
        <x:f>F5*F7</x:f>
        <x:v>1719.6684680448002</x:v>
      </x:c>
      <x:c r="G8" s="112" t="n">
        <x:f>G5*G7</x:f>
        <x:v>1891.6353148492806</x:v>
      </x:c>
    </x:row>
    <x:row r="9" ht="22" customHeight="1">
      <x:c r="A9" s="78" t="str">
        <x:v>Operating margin before SBC</x:v>
      </x:c>
      <x:c r="B9" s="85" t="n">
        <x:f>'01_Assumptions'!B82</x:f>
        <x:v>0.14</x:v>
      </x:c>
      <x:c r="C9" s="85" t="n">
        <x:f>'01_Assumptions'!C82</x:f>
        <x:v>0.2</x:v>
      </x:c>
      <x:c r="D9" s="85" t="n">
        <x:f>'01_Assumptions'!D82</x:f>
        <x:v>0.24</x:v>
      </x:c>
      <x:c r="E9" s="85" t="n">
        <x:f>'01_Assumptions'!E82</x:f>
        <x:v>0.27</x:v>
      </x:c>
      <x:c r="F9" s="85" t="n">
        <x:f>'01_Assumptions'!F82</x:f>
        <x:v>0.29</x:v>
      </x:c>
      <x:c r="G9" s="85" t="n">
        <x:f>'01_Assumptions'!G82</x:f>
        <x:v>0.31</x:v>
      </x:c>
    </x:row>
    <x:row r="10" ht="22" customHeight="1">
      <x:c r="A10" s="78" t="str">
        <x:v>SBC / revenue</x:v>
      </x:c>
      <x:c r="B10" s="85" t="n">
        <x:f>'01_Assumptions'!B83</x:f>
        <x:v>0.23</x:v>
      </x:c>
      <x:c r="C10" s="85" t="n">
        <x:f>'01_Assumptions'!C83</x:f>
        <x:v>0.22</x:v>
      </x:c>
      <x:c r="D10" s="85" t="n">
        <x:f>'01_Assumptions'!D83</x:f>
        <x:v>0.2</x:v>
      </x:c>
      <x:c r="E10" s="85" t="n">
        <x:f>'01_Assumptions'!E83</x:f>
        <x:v>0.18</x:v>
      </x:c>
      <x:c r="F10" s="85" t="n">
        <x:f>'01_Assumptions'!F83</x:f>
        <x:v>0.16</x:v>
      </x:c>
      <x:c r="G10" s="85" t="n">
        <x:f>'01_Assumptions'!G83</x:f>
        <x:v>0.14</x:v>
      </x:c>
    </x:row>
    <x:row r="11" ht="22" customHeight="1">
      <x:c r="A11" s="78" t="str">
        <x:v>SBC (included in EBIT)</x:v>
      </x:c>
      <x:c r="B11" s="112" t="n">
        <x:f>B5*B10</x:f>
        <x:v>260.13</x:v>
      </x:c>
      <x:c r="C11" s="112" t="n">
        <x:f>C5*C10</x:f>
        <x:v>293.6076</x:v>
      </x:c>
      <x:c r="D11" s="112" t="n">
        <x:f>D5*D10</x:f>
        <x:v>309.62256</x:v>
      </x:c>
      <x:c r="E11" s="112" t="n">
        <x:f>E5*E10</x:f>
        <x:v>317.67274656</x:v>
      </x:c>
      <x:c r="F11" s="112" t="n">
        <x:f>F5*F10</x:f>
        <x:v>316.26086768640005</x:v>
      </x:c>
      <x:c r="G11" s="112" t="n">
        <x:f>G5*G10</x:f>
        <x:v>304.4010851481601</x:v>
      </x:c>
    </x:row>
    <x:row r="12" ht="22" customHeight="1">
      <x:c r="A12" s="110" t="str">
        <x:v>GAAP operating income</x:v>
      </x:c>
      <x:c r="B12" s="113" t="n">
        <x:f>B5*B9-B11</x:f>
        <x:v>-101.78999999999999</x:v>
      </x:c>
      <x:c r="C12" s="113" t="n">
        <x:f>C5*C9-C11</x:f>
        <x:v>-26.691599999999994</x:v>
      </x:c>
      <x:c r="D12" s="113" t="n">
        <x:f>D5*D9-D11</x:f>
        <x:v>61.924511999999936</x:v>
      </x:c>
      <x:c r="E12" s="113" t="n">
        <x:f>E5*E9-E11</x:f>
        <x:v>158.83637328000003</x:v>
      </x:c>
      <x:c r="F12" s="113" t="n">
        <x:f>F5*F9-F11</x:f>
        <x:v>256.9619549952</x:v>
      </x:c>
      <x:c r="G12" s="113" t="n">
        <x:f>G5*G9-G11</x:f>
        <x:v>369.6298891084801</x:v>
      </x:c>
    </x:row>
    <x:row r="13" ht="22" customHeight="1">
      <x:c r="A13" s="78" t="str">
        <x:v>GAAP operating margin</x:v>
      </x:c>
      <x:c r="B13" s="115" t="n">
        <x:f>B12/B5</x:f>
        <x:v>-0.09</x:v>
      </x:c>
      <x:c r="C13" s="115" t="n">
        <x:f>C12/C5</x:f>
        <x:v>-0.019999999999999997</x:v>
      </x:c>
      <x:c r="D13" s="115" t="n">
        <x:f>D12/D5</x:f>
        <x:v>0.03999999999999996</x:v>
      </x:c>
      <x:c r="E13" s="115" t="n">
        <x:f>E12/E5</x:f>
        <x:v>0.09000000000000001</x:v>
      </x:c>
      <x:c r="F13" s="115" t="n">
        <x:f>F12/F5</x:f>
        <x:v>0.12999999999999998</x:v>
      </x:c>
      <x:c r="G13" s="115" t="n">
        <x:f>G12/G5</x:f>
        <x:v>0.16999999999999998</x:v>
      </x:c>
    </x:row>
    <x:row r="14" ht="22" customHeight="1">
      <x:c r="A14" s="78" t="str">
        <x:v>Net interest and other income</x:v>
      </x:c>
      <x:c r="B14" s="83" t="n">
        <x:f>('04_GTLB_Historical'!B34+'04_GTLB_Historical'!B35-'01_Assumptions'!$B$43)*'01_Assumptions'!$B$15</x:f>
        <x:v>48.43544</x:v>
      </x:c>
      <x:c r="C14" s="83" t="n">
        <x:f>('04_GTLB_Historical'!B34+'04_GTLB_Historical'!B35-'01_Assumptions'!$B$43)*'01_Assumptions'!$B$15</x:f>
        <x:v>48.43544</x:v>
      </x:c>
      <x:c r="D14" s="83" t="n">
        <x:f>('04_GTLB_Historical'!B34+'04_GTLB_Historical'!B35-'01_Assumptions'!$B$43)*'01_Assumptions'!$B$15</x:f>
        <x:v>48.43544</x:v>
      </x:c>
      <x:c r="E14" s="83" t="n">
        <x:f>('04_GTLB_Historical'!B34+'04_GTLB_Historical'!B35-'01_Assumptions'!$B$43)*'01_Assumptions'!$B$15</x:f>
        <x:v>48.43544</x:v>
      </x:c>
      <x:c r="F14" s="83" t="n">
        <x:f>('04_GTLB_Historical'!B34+'04_GTLB_Historical'!B35-'01_Assumptions'!$B$43)*'01_Assumptions'!$B$15</x:f>
        <x:v>48.43544</x:v>
      </x:c>
      <x:c r="G14" s="83" t="n">
        <x:f>('04_GTLB_Historical'!B34+'04_GTLB_Historical'!B35-'01_Assumptions'!$B$43)*'01_Assumptions'!$B$15</x:f>
        <x:v>48.43544</x:v>
      </x:c>
    </x:row>
    <x:row r="15" ht="22" customHeight="1">
      <x:c r="A15" s="78" t="str">
        <x:v>Income before tax</x:v>
      </x:c>
      <x:c r="B15" s="112" t="n">
        <x:f>SUM(B12,B14)</x:f>
        <x:v>-53.35455999999999</x:v>
      </x:c>
      <x:c r="C15" s="112" t="n">
        <x:f>SUM(C12,C14)</x:f>
        <x:v>21.743840000000006</x:v>
      </x:c>
      <x:c r="D15" s="112" t="n">
        <x:f>SUM(D12,D14)</x:f>
        <x:v>110.35995199999994</x:v>
      </x:c>
      <x:c r="E15" s="112" t="n">
        <x:f>SUM(E12,E14)</x:f>
        <x:v>207.27181328000003</x:v>
      </x:c>
      <x:c r="F15" s="112" t="n">
        <x:f>SUM(F12,F14)</x:f>
        <x:v>305.3973949952</x:v>
      </x:c>
      <x:c r="G15" s="112" t="n">
        <x:f>SUM(G12,G14)</x:f>
        <x:v>418.0653291084801</x:v>
      </x:c>
    </x:row>
    <x:row r="16" ht="22" customHeight="1">
      <x:c r="A16" s="78" t="str">
        <x:v>Normalized tax expense</x:v>
      </x:c>
      <x:c r="B16" s="83" t="n">
        <x:f>MAX(0,B15)*'01_Assumptions'!$B$16</x:f>
        <x:v>0</x:v>
      </x:c>
      <x:c r="C16" s="83" t="n">
        <x:f>MAX(0,C15)*'01_Assumptions'!$B$16</x:f>
        <x:v>5.109802400000001</x:v>
      </x:c>
      <x:c r="D16" s="83" t="n">
        <x:f>MAX(0,D15)*'01_Assumptions'!$B$16</x:f>
        <x:v>25.934588719999983</x:v>
      </x:c>
      <x:c r="E16" s="83" t="n">
        <x:f>MAX(0,E15)*'01_Assumptions'!$B$16</x:f>
        <x:v>48.70887612080001</x:v>
      </x:c>
      <x:c r="F16" s="83" t="n">
        <x:f>MAX(0,F15)*'01_Assumptions'!$B$16</x:f>
        <x:v>71.76838782387199</x:v>
      </x:c>
      <x:c r="G16" s="83" t="n">
        <x:f>MAX(0,G15)*'01_Assumptions'!$B$16</x:f>
        <x:v>98.24535234049281</x:v>
      </x:c>
    </x:row>
    <x:row r="17" ht="22" customHeight="1">
      <x:c r="A17" s="78" t="str">
        <x:v>Consolidated net income</x:v>
      </x:c>
      <x:c r="B17" s="112" t="n">
        <x:f>B15-B16</x:f>
        <x:v>-53.35455999999999</x:v>
      </x:c>
      <x:c r="C17" s="112" t="n">
        <x:f>C15-C16</x:f>
        <x:v>16.634037600000006</x:v>
      </x:c>
      <x:c r="D17" s="112" t="n">
        <x:f>D15-D16</x:f>
        <x:v>84.42536327999996</x:v>
      </x:c>
      <x:c r="E17" s="112" t="n">
        <x:f>E15-E16</x:f>
        <x:v>158.56293715920003</x:v>
      </x:c>
      <x:c r="F17" s="112" t="n">
        <x:f>F15-F16</x:f>
        <x:v>233.629007171328</x:v>
      </x:c>
      <x:c r="G17" s="112" t="n">
        <x:f>G15-G16</x:f>
        <x:v>319.8199767679873</x:v>
      </x:c>
    </x:row>
    <x:row r="18" ht="22" customHeight="1">
      <x:c r="A18" s="78" t="str">
        <x:v>NCI income (assumed zero)</x:v>
      </x:c>
      <x:c r="B18" s="95" t="n">
        <x:v>0</x:v>
      </x:c>
      <x:c r="C18" s="95" t="n">
        <x:v>0</x:v>
      </x:c>
      <x:c r="D18" s="95" t="n">
        <x:v>0</x:v>
      </x:c>
      <x:c r="E18" s="95" t="n">
        <x:v>0</x:v>
      </x:c>
      <x:c r="F18" s="95" t="n">
        <x:v>0</x:v>
      </x:c>
      <x:c r="G18" s="95" t="n">
        <x:v>0</x:v>
      </x:c>
    </x:row>
    <x:row r="19" ht="22" customHeight="1">
      <x:c r="A19" s="110" t="str">
        <x:v>Net income attributable to parent</x:v>
      </x:c>
      <x:c r="B19" s="113" t="n">
        <x:f>B17-B18</x:f>
        <x:v>-53.35455999999999</x:v>
      </x:c>
      <x:c r="C19" s="113" t="n">
        <x:f>C17-C18</x:f>
        <x:v>16.634037600000006</x:v>
      </x:c>
      <x:c r="D19" s="113" t="n">
        <x:f>D17-D18</x:f>
        <x:v>84.42536327999996</x:v>
      </x:c>
      <x:c r="E19" s="113" t="n">
        <x:f>E17-E18</x:f>
        <x:v>158.56293715920003</x:v>
      </x:c>
      <x:c r="F19" s="113" t="n">
        <x:f>F17-F18</x:f>
        <x:v>233.629007171328</x:v>
      </x:c>
      <x:c r="G19" s="113" t="n">
        <x:f>G17-G18</x:f>
        <x:v>319.8199767679873</x:v>
      </x:c>
    </x:row>
    <x:row r="20" ht="22" customHeight="1">
      <x:c r="A20" s="78" t="str">
        <x:v>Weighted diluted shares</x:v>
      </x:c>
      <x:c r="B20" s="83" t="n">
        <x:f>'01_Assumptions'!B84</x:f>
        <x:v>172</x:v>
      </x:c>
      <x:c r="C20" s="83" t="n">
        <x:f>'01_Assumptions'!C84</x:f>
        <x:v>175</x:v>
      </x:c>
      <x:c r="D20" s="83" t="n">
        <x:f>'01_Assumptions'!D84</x:f>
        <x:v>178</x:v>
      </x:c>
      <x:c r="E20" s="83" t="n">
        <x:f>'01_Assumptions'!E84</x:f>
        <x:v>181</x:v>
      </x:c>
      <x:c r="F20" s="83" t="n">
        <x:f>'01_Assumptions'!F84</x:f>
        <x:v>184</x:v>
      </x:c>
      <x:c r="G20" s="83" t="n">
        <x:f>'01_Assumptions'!G84</x:f>
        <x:v>187</x:v>
      </x:c>
    </x:row>
    <x:row r="21" ht="22" customHeight="1">
      <x:c r="A21" s="110" t="str">
        <x:v>Standalone diluted EPS</x:v>
      </x:c>
      <x:c r="B21" s="120" t="n">
        <x:f>B19/B20</x:f>
        <x:v>-0.31020093023255807</x:v>
      </x:c>
      <x:c r="C21" s="120" t="n">
        <x:f>C19/C20</x:f>
        <x:v>0.09505164342857146</x:v>
      </x:c>
      <x:c r="D21" s="120" t="n">
        <x:f>D19/D20</x:f>
        <x:v>0.4742997937078649</x:v>
      </x:c>
      <x:c r="E21" s="120" t="n">
        <x:f>E19/E20</x:f>
        <x:v>0.876038326846409</x:v>
      </x:c>
      <x:c r="F21" s="120" t="n">
        <x:f>F19/F20</x:f>
        <x:v>1.2697228650615653</x:v>
      </x:c>
      <x:c r="G21" s="120" t="n">
        <x:f>G19/G20</x:f>
        <x:v>1.7102672554437826</x:v>
      </x:c>
    </x:row>
    <x:row r="22" ht="22" customHeight="1">
      <x:c r="A22" s="78" t="str">
        <x:v>D&amp;A excluding commissions</x:v>
      </x:c>
      <x:c r="B22" s="83" t="n">
        <x:f>B5*'01_Assumptions'!B85</x:f>
        <x:v>13.572000000000001</x:v>
      </x:c>
      <x:c r="C22" s="83" t="n">
        <x:f>C5*'01_Assumptions'!C85</x:f>
        <x:v>16.01496</x:v>
      </x:c>
      <x:c r="D22" s="83" t="n">
        <x:f>D5*'01_Assumptions'!D85</x:f>
        <x:v>18.5773536</x:v>
      </x:c>
      <x:c r="E22" s="83" t="n">
        <x:f>E5*'01_Assumptions'!E85</x:f>
        <x:v>21.178183104000002</x:v>
      </x:c>
      <x:c r="F22" s="83" t="n">
        <x:f>F5*'01_Assumptions'!F85</x:f>
        <x:v>23.719565076480006</x:v>
      </x:c>
      <x:c r="G22" s="83" t="n">
        <x:f>G5*'01_Assumptions'!G85</x:f>
        <x:v>26.091521584128007</x:v>
      </x:c>
    </x:row>
    <x:row r="23" ht="22" customHeight="1">
      <x:c r="A23" s="78" t="str">
        <x:v>Capex</x:v>
      </x:c>
      <x:c r="B23" s="83" t="n">
        <x:f>B5*'01_Assumptions'!B86</x:f>
        <x:v>11.31</x:v>
      </x:c>
      <x:c r="C23" s="83" t="n">
        <x:f>C5*'01_Assumptions'!C86</x:f>
        <x:v>13.345799999999999</x:v>
      </x:c>
      <x:c r="D23" s="83" t="n">
        <x:f>D5*'01_Assumptions'!D86</x:f>
        <x:v>15.481128</x:v>
      </x:c>
      <x:c r="E23" s="83" t="n">
        <x:f>E5*'01_Assumptions'!E86</x:f>
        <x:v>17.648485920000002</x:v>
      </x:c>
      <x:c r="F23" s="83" t="n">
        <x:f>F5*'01_Assumptions'!F86</x:f>
        <x:v>19.766304230400003</x:v>
      </x:c>
      <x:c r="G23" s="83" t="n">
        <x:f>G5*'01_Assumptions'!G86</x:f>
        <x:v>21.742934653440006</x:v>
      </x:c>
    </x:row>
    <x:row r="24" ht="22" customHeight="1">
      <x:c r="A24" s="78" t="str">
        <x:v>Operating NWC / revenue</x:v>
      </x:c>
      <x:c r="B24" s="85" t="n">
        <x:f>'01_Assumptions'!B87</x:f>
        <x:v>-0.18</x:v>
      </x:c>
      <x:c r="C24" s="85" t="n">
        <x:f>'01_Assumptions'!C87</x:f>
        <x:v>-0.18</x:v>
      </x:c>
      <x:c r="D24" s="85" t="n">
        <x:f>'01_Assumptions'!D87</x:f>
        <x:v>-0.18</x:v>
      </x:c>
      <x:c r="E24" s="85" t="n">
        <x:f>'01_Assumptions'!E87</x:f>
        <x:v>-0.18</x:v>
      </x:c>
      <x:c r="F24" s="85" t="n">
        <x:f>'01_Assumptions'!F87</x:f>
        <x:v>-0.18</x:v>
      </x:c>
      <x:c r="G24" s="85" t="n">
        <x:f>'01_Assumptions'!G87</x:f>
        <x:v>-0.18</x:v>
      </x:c>
    </x:row>
    <x:row r="25" ht="22" customHeight="1">
      <x:c r="A25" s="78" t="str">
        <x:v>Operating NWC</x:v>
      </x:c>
      <x:c r="B25" s="112" t="n">
        <x:f>B5*B24</x:f>
        <x:v>-203.57999999999998</x:v>
      </x:c>
      <x:c r="C25" s="112" t="n">
        <x:f>C5*C24</x:f>
        <x:v>-240.22439999999997</x:v>
      </x:c>
      <x:c r="D25" s="112" t="n">
        <x:f>D5*D24</x:f>
        <x:v>-278.66030399999994</x:v>
      </x:c>
      <x:c r="E25" s="112" t="n">
        <x:f>E5*E24</x:f>
        <x:v>-317.67274656</x:v>
      </x:c>
      <x:c r="F25" s="112" t="n">
        <x:f>F5*F24</x:f>
        <x:v>-355.79347614720007</x:v>
      </x:c>
      <x:c r="G25" s="112" t="n">
        <x:f>G5*G24</x:f>
        <x:v>-391.37282376192013</x:v>
      </x:c>
    </x:row>
    <x:row r="26" ht="22" customHeight="1">
      <x:c r="A26" s="78" t="str">
        <x:v>Change in operating NWC</x:v>
      </x:c>
      <x:c r="B26" s="83" t="n">
        <x:f>B25-'01_Assumptions'!$B$62</x:f>
        <x:v>55.976</x:v>
      </x:c>
      <x:c r="C26" s="112" t="n">
        <x:f>C25-B25</x:f>
        <x:v>-36.64439999999999</x:v>
      </x:c>
      <x:c r="D26" s="112" t="n">
        <x:f>D25-C25</x:f>
        <x:v>-38.435903999999965</x:v>
      </x:c>
      <x:c r="E26" s="112" t="n">
        <x:f>E25-D25</x:f>
        <x:v>-39.01244256000007</x:v>
      </x:c>
      <x:c r="F26" s="112" t="n">
        <x:f>F25-E25</x:f>
        <x:v>-38.12072958720006</x:v>
      </x:c>
      <x:c r="G26" s="112" t="n">
        <x:f>G25-F25</x:f>
        <x:v>-35.579347614720064</x:v>
      </x:c>
    </x:row>
    <x:row r="27" ht="22" customHeight="1">
      <x:c r="A27" s="78" t="str">
        <x:v>Cash taxes on positive EBIT</x:v>
      </x:c>
      <x:c r="B27" s="83" t="n">
        <x:f>MAX(0,B12)*'01_Assumptions'!$B$16</x:f>
        <x:v>0</x:v>
      </x:c>
      <x:c r="C27" s="83" t="n">
        <x:f>MAX(0,C12)*'01_Assumptions'!$B$16</x:f>
        <x:v>0</x:v>
      </x:c>
      <x:c r="D27" s="83" t="n">
        <x:f>MAX(0,D12)*'01_Assumptions'!$B$16</x:f>
        <x:v>14.552260319999984</x:v>
      </x:c>
      <x:c r="E27" s="83" t="n">
        <x:f>MAX(0,E12)*'01_Assumptions'!$B$16</x:f>
        <x:v>37.32654772080001</x:v>
      </x:c>
      <x:c r="F27" s="83" t="n">
        <x:f>MAX(0,F12)*'01_Assumptions'!$B$16</x:f>
        <x:v>60.386059423872</x:v>
      </x:c>
      <x:c r="G27" s="83" t="n">
        <x:f>MAX(0,G12)*'01_Assumptions'!$B$16</x:f>
        <x:v>86.86302394049281</x:v>
      </x:c>
    </x:row>
    <x:row r="28" ht="22" customHeight="1">
      <x:c r="A28" s="78" t="str">
        <x:v>NOPAT</x:v>
      </x:c>
      <x:c r="B28" s="112" t="n">
        <x:f>B12-B27</x:f>
        <x:v>-101.78999999999999</x:v>
      </x:c>
      <x:c r="C28" s="112" t="n">
        <x:f>C12-C27</x:f>
        <x:v>-26.691599999999994</x:v>
      </x:c>
      <x:c r="D28" s="112" t="n">
        <x:f>D12-D27</x:f>
        <x:v>47.37225167999995</x:v>
      </x:c>
      <x:c r="E28" s="112" t="n">
        <x:f>E12-E27</x:f>
        <x:v>121.50982555920002</x:v>
      </x:c>
      <x:c r="F28" s="112" t="n">
        <x:f>F12-F27</x:f>
        <x:v>196.57589557132803</x:v>
      </x:c>
      <x:c r="G28" s="112" t="n">
        <x:f>G12-G27</x:f>
        <x:v>282.76686516798725</x:v>
      </x:c>
    </x:row>
    <x:row r="29" ht="22" customHeight="1">
      <x:c r="A29" s="110" t="str">
        <x:v>Unlevered FCF after SBC</x:v>
      </x:c>
      <x:c r="B29" s="113" t="n">
        <x:f>B28+B22-B23-B26</x:f>
        <x:v>-155.504</x:v>
      </x:c>
      <x:c r="C29" s="113" t="n">
        <x:f>C28+C22-C23-C26</x:f>
        <x:v>12.621959999999994</x:v>
      </x:c>
      <x:c r="D29" s="113" t="n">
        <x:f>D28+D22-D23-D26</x:f>
        <x:v>88.90438127999991</x:v>
      </x:c>
      <x:c r="E29" s="113" t="n">
        <x:f>E28+E22-E23-E26</x:f>
        <x:v>164.05196530320012</x:v>
      </x:c>
      <x:c r="F29" s="113" t="n">
        <x:f>F28+F22-F23-F26</x:f>
        <x:v>238.64988600460808</x:v>
      </x:c>
      <x:c r="G29" s="113" t="n">
        <x:f>G28+G22-G23-G26</x:f>
        <x:v>322.69479971339535</x:v>
      </x:c>
    </x:row>
    <x:row r="30" ht="22" customHeight="1">
      <x:c r="A30" s="78" t="str">
        <x:v>EBIT before SBC (supplemental)</x:v>
      </x:c>
      <x:c r="B30" s="112" t="n">
        <x:f>B12+B11</x:f>
        <x:v>158.34</x:v>
      </x:c>
      <x:c r="C30" s="112" t="n">
        <x:f>C12+C11</x:f>
        <x:v>266.916</x:v>
      </x:c>
      <x:c r="D30" s="112" t="n">
        <x:f>D12+D11</x:f>
        <x:v>371.54707199999996</x:v>
      </x:c>
      <x:c r="E30" s="112" t="n">
        <x:f>E12+E11</x:f>
        <x:v>476.50911984000004</x:v>
      </x:c>
      <x:c r="F30" s="112" t="n">
        <x:f>F12+F11</x:f>
        <x:v>573.2228226816001</x:v>
      </x:c>
      <x:c r="G30" s="112" t="n">
        <x:f>G12+G11</x:f>
        <x:v>674.0309742566402</x:v>
      </x:c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0" customHeight="1">
      <x:c r="A33" s="7" t="str">
        <x:v>FY27 revenue anchors to guidance. Margin expansion is an analyst assumption. SBC is never added to DCF cash flow; dilution is represented by recurring compensation cost. NWC includes deferred commissions and revenue.</x:v>
      </x:c>
      <x:c r="B33" s="81"/>
      <x:c r="C33" s="81"/>
      <x:c r="D33" s="81"/>
      <x:c r="E33" s="81"/>
      <x:c r="F33" s="81"/>
      <x:c r="G33" s="81"/>
    </x:row>
    <x:row r="34" ht="20" customHeight="1">
      <x:c r="A34" s="7"/>
      <x:c r="B34" s="81"/>
      <x:c r="C34" s="81"/>
      <x:c r="D34" s="81"/>
      <x:c r="E34" s="81"/>
      <x:c r="F34" s="81"/>
      <x:c r="G34" s="81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33:G34"/>
  </x:mergeCells>
  <x:pageMargins left="0.7" right="0.7" top="0.75" bottom="0.75" header="0.3" footer="0.3"/>
  <x:legacyDrawing xmlns:r="http://schemas.openxmlformats.org/officeDocument/2006/relationships" r:id="Rf42ea842c75d454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6" customHeight="1">
      <x:c r="A1" s="5" t="str">
        <x:v>Valuation Comps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42" customHeight="1">
      <x:c r="A4" s="78" t="str">
        <x:v>Peer</x:v>
      </x:c>
      <x:c r="B4" s="109" t="str">
        <x:v>Close ($)</x:v>
      </x:c>
      <x:c r="C4" s="109" t="str">
        <x:v>Shares proxy</x:v>
      </x:c>
      <x:c r="D4" s="109" t="str">
        <x:v>Equity value</x:v>
      </x:c>
      <x:c r="E4" s="109" t="str">
        <x:v>Debt</x:v>
      </x:c>
      <x:c r="F4" s="109" t="str">
        <x:v>Cash / sec.</x:v>
      </x:c>
      <x:c r="G4" s="109" t="str">
        <x:v>EV</x:v>
      </x:c>
      <x:c r="H4" s="142" t="str">
        <x:v>Forward rev.</x:v>
      </x:c>
      <x:c r="I4" s="142" t="str">
        <x:v>EV / Fwd rev.</x:v>
      </x:c>
      <x:c r="J4" s="142" t="str">
        <x:v>Quarter growth</x:v>
      </x:c>
      <x:c r="K4" s="142" t="str">
        <x:v>GAAP margin</x:v>
      </x:c>
    </x:row>
    <x:row r="5" ht="22" customHeight="1">
      <x:c r="A5" s="78" t="str">
        <x:v>Atlassian</x:v>
      </x:c>
      <x:c r="B5" s="92" t="n">
        <x:v>189.58</x:v>
      </x:c>
      <x:c r="C5" s="95" t="n">
        <x:v>252.805</x:v>
      </x:c>
      <x:c r="D5" s="112" t="n">
        <x:f>B5*C5</x:f>
        <x:v>47926.77190000001</x:v>
      </x:c>
      <x:c r="E5" s="95" t="n">
        <x:v>989.56</x:v>
      </x:c>
      <x:c r="F5" s="95" t="n">
        <x:v>1239.512</x:v>
      </x:c>
      <x:c r="G5" s="112" t="n">
        <x:f>SUM(D5:E5)-F5</x:f>
        <x:v>47676.8199</x:v>
      </x:c>
      <x:c r="H5" s="64" t="n">
        <x:f>B15*(1+C15)</x:f>
        <x:v>7426.7080399999995</x:v>
      </x:c>
      <x:c r="I5" s="65" t="n">
        <x:f>G5/H5</x:f>
        <x:v>6.41964375645498</x:v>
      </x:c>
      <x:c r="J5" s="66" t="n">
        <x:f>D15/E15-1</x:f>
        <x:v>0.27603326918742743</x:v>
      </x:c>
      <x:c r="K5" s="66" t="n">
        <x:f>F15/D15</x:f>
        <x:v>0.11929051684462054</x:v>
      </x:c>
    </x:row>
    <x:row r="6" ht="22" customHeight="1">
      <x:c r="A6" s="78" t="str">
        <x:v>Datadog</x:v>
      </x:c>
      <x:c r="B6" s="92" t="n">
        <x:v>212.93</x:v>
      </x:c>
      <x:c r="C6" s="95" t="n">
        <x:v>356.253</x:v>
      </x:c>
      <x:c r="D6" s="112" t="n">
        <x:f>B6*C6</x:f>
        <x:v>75856.95129</x:v>
      </x:c>
      <x:c r="E6" s="95" t="n">
        <x:v>1000</x:v>
      </x:c>
      <x:c r="F6" s="95" t="n">
        <x:v>4985.438</x:v>
      </x:c>
      <x:c r="G6" s="112" t="n">
        <x:f>SUM(D6:E6)-F6</x:f>
        <x:v>71871.51329</x:v>
      </x:c>
      <x:c r="H6" s="64" t="n">
        <x:f>B16*(5/12+7/12*(1+C16))</x:f>
        <x:v>5110.416666666667</x:v>
      </x:c>
      <x:c r="I6" s="65" t="n">
        <x:f>G6/H6</x:f>
        <x:v>14.063728650305748</x:v>
      </x:c>
      <x:c r="J6" s="66" t="n">
        <x:f>D16/E16-1</x:f>
        <x:v>0.3564444336929702</x:v>
      </x:c>
      <x:c r="K6" s="66" t="n">
        <x:f>F16/D16</x:f>
        <x:v>0.004864220913207319</x:v>
      </x:c>
    </x:row>
    <x:row r="7" ht="22" customHeight="1">
      <x:c r="A7" s="78" t="str">
        <x:v>JFrog</x:v>
      </x:c>
      <x:c r="B7" s="92" t="n">
        <x:v>87.6</x:v>
      </x:c>
      <x:c r="C7" s="95" t="n">
        <x:v>121.816</x:v>
      </x:c>
      <x:c r="D7" s="112" t="n">
        <x:f>B7*C7</x:f>
        <x:v>10671.0816</x:v>
      </x:c>
      <x:c r="E7" s="95" t="n">
        <x:v>0</x:v>
      </x:c>
      <x:c r="F7" s="95" t="n">
        <x:v>824.486</x:v>
      </x:c>
      <x:c r="G7" s="112" t="n">
        <x:f>SUM(D7:E7)-F7</x:f>
        <x:v>9846.595599999999</x:v>
      </x:c>
      <x:c r="H7" s="64" t="n">
        <x:f>B17*(5/12+7/12*(1+C17))</x:f>
        <x:v>733.4166666666667</x:v>
      </x:c>
      <x:c r="I7" s="65" t="n">
        <x:f>G7/H7</x:f>
        <x:v>13.425650176116347</x:v>
      </x:c>
      <x:c r="J7" s="66" t="n">
        <x:f>D17/E17-1</x:f>
        <x:v>0.28773584905660377</x:v>
      </x:c>
      <x:c r="K7" s="66" t="n">
        <x:f>F17/D17</x:f>
        <x:v>-0.08058608058608058</x:v>
      </x:c>
    </x:row>
    <x:row r="8" ht="22" customHeight="1">
      <x:c r="A8" s="78"/>
      <x:c r="B8" s="82"/>
      <x:c r="C8" s="82"/>
      <x:c r="D8" s="82"/>
      <x:c r="E8" s="82"/>
      <x:c r="F8" s="82"/>
      <x:c r="G8" s="82"/>
    </x:row>
    <x:row r="9" ht="22" customHeight="1">
      <x:c r="A9" s="78" t="str">
        <x:v>Median</x:v>
      </x:c>
      <x:c r="B9" s="82"/>
      <x:c r="C9" s="82"/>
      <x:c r="D9" s="82"/>
      <x:c r="E9" s="82"/>
      <x:c r="F9" s="82"/>
      <x:c r="G9" s="82"/>
      <x:c r="I9" s="65" t="n">
        <x:f>MEDIAN(I5:I7)</x:f>
        <x:v>13.425650176116347</x:v>
      </x:c>
    </x:row>
    <x:row r="10" ht="22" customHeight="1">
      <x:c r="A10" s="78" t="str">
        <x:v>Low / High</x:v>
      </x:c>
      <x:c r="B10" s="82"/>
      <x:c r="C10" s="82"/>
      <x:c r="D10" s="82"/>
      <x:c r="E10" s="82"/>
      <x:c r="F10" s="82"/>
      <x:c r="G10" s="82"/>
      <x:c r="H10" s="65" t="n">
        <x:f>MIN(I5:I7)</x:f>
        <x:v>6.41964375645498</x:v>
      </x:c>
      <x:c r="I10" s="65" t="n">
        <x:f>MAX(I5:I7)</x:f>
        <x:v>14.063728650305748</x:v>
      </x:c>
    </x:row>
    <x:row r="11" ht="22" customHeight="1">
      <x:c r="A11" s="78"/>
      <x:c r="B11" s="82"/>
      <x:c r="C11" s="82"/>
      <x:c r="D11" s="82"/>
      <x:c r="E11" s="82"/>
      <x:c r="F11" s="82"/>
      <x:c r="G11" s="82"/>
    </x:row>
    <x:row r="12" ht="22" customHeight="1">
      <x:c r="A12" s="78"/>
      <x:c r="B12" s="82"/>
      <x:c r="C12" s="82"/>
      <x:c r="D12" s="82"/>
      <x:c r="E12" s="82"/>
      <x:c r="F12" s="82"/>
      <x:c r="G12" s="82"/>
    </x:row>
    <x:row r="13" ht="26" customHeight="1">
      <x:c r="A13" s="111" t="str">
        <x:v>FORWARD REVENUE INPUTS</x:v>
      </x:c>
      <x:c r="B13" s="118"/>
      <x:c r="C13" s="118"/>
      <x:c r="D13" s="118"/>
      <x:c r="E13" s="118"/>
      <x:c r="F13" s="118"/>
      <x:c r="G13" s="118"/>
    </x:row>
    <x:row r="14" ht="38" customHeight="1">
      <x:c r="A14" s="78"/>
      <x:c r="B14" s="144" t="str">
        <x:v>FY base / guide</x:v>
      </x:c>
      <x:c r="C14" s="144" t="str">
        <x:v>Growth assumption</x:v>
      </x:c>
      <x:c r="D14" s="144" t="str">
        <x:v>Quarter revenue</x:v>
      </x:c>
      <x:c r="E14" s="144" t="str">
        <x:v>Prior quarter rev.</x:v>
      </x:c>
      <x:c r="F14" s="144" t="str">
        <x:v>Quarter EBIT</x:v>
      </x:c>
      <x:c r="G14" s="82"/>
    </x:row>
    <x:row r="15" ht="22" customHeight="1">
      <x:c r="A15" s="78" t="str">
        <x:v>TEAM forecast inputs</x:v>
      </x:c>
      <x:c r="B15" s="95" t="n">
        <x:v>6572.308</x:v>
      </x:c>
      <x:c r="C15" s="94" t="n">
        <x:v>0.13</x:v>
      </x:c>
      <x:c r="D15" s="95" t="n">
        <x:v>1766.469</x:v>
      </x:c>
      <x:c r="E15" s="95" t="n">
        <x:v>1384.344</x:v>
      </x:c>
      <x:c r="F15" s="95" t="n">
        <x:v>210.723</x:v>
      </x:c>
      <x:c r="G15" s="82"/>
    </x:row>
    <x:row r="16" ht="22" customHeight="1">
      <x:c r="A16" s="78" t="str">
        <x:v>DDOG forecast inputs</x:v>
      </x:c>
      <x:c r="B16" s="95" t="n">
        <x:v>4460</x:v>
      </x:c>
      <x:c r="C16" s="94" t="n">
        <x:v>0.25</x:v>
      </x:c>
      <x:c r="D16" s="95" t="n">
        <x:v>1121.454</x:v>
      </x:c>
      <x:c r="E16" s="95" t="n">
        <x:v>826.76</x:v>
      </x:c>
      <x:c r="F16" s="95" t="n">
        <x:v>5.455</x:v>
      </x:c>
      <x:c r="G16" s="82"/>
    </x:row>
    <x:row r="17" ht="22" customHeight="1">
      <x:c r="A17" s="78" t="str">
        <x:v>FROG forecast inputs</x:v>
      </x:c>
      <x:c r="B17" s="95" t="n">
        <x:v>650</x:v>
      </x:c>
      <x:c r="C17" s="94" t="n">
        <x:v>0.22</x:v>
      </x:c>
      <x:c r="D17" s="95" t="n">
        <x:v>163.8</x:v>
      </x:c>
      <x:c r="E17" s="95" t="n">
        <x:v>127.2</x:v>
      </x:c>
      <x:c r="F17" s="95" t="n">
        <x:v>-13.2</x:v>
      </x:c>
      <x:c r="G17" s="82"/>
    </x:row>
    <x:row r="18" ht="22" customHeight="1">
      <x:c r="A18" s="78"/>
      <x:c r="B18" s="82"/>
      <x:c r="C18" s="82"/>
      <x:c r="D18" s="82"/>
      <x:c r="E18" s="82"/>
      <x:c r="F18" s="82"/>
      <x:c r="G18" s="82"/>
    </x:row>
    <x:row r="19" ht="22" customHeight="1">
      <x:c r="A19" s="78"/>
      <x:c r="B19" s="82"/>
      <x:c r="C19" s="82"/>
      <x:c r="D19" s="82"/>
      <x:c r="E19" s="82"/>
      <x:c r="F19" s="82"/>
      <x:c r="G19" s="82"/>
    </x:row>
    <x:row r="20" ht="20" customHeight="1">
      <x:c r="A20" s="7" t="str">
        <x:v>Share counts use latest quarterly weighted basic shares as explicit market-cap proxies. Debt is carried at book value except DDOG convertible notes at $1bn face value; convertibles are treated as debt, not also shares.</x:v>
      </x:c>
      <x:c r="B20" s="81"/>
      <x:c r="C20" s="81"/>
      <x:c r="D20" s="81"/>
      <x:c r="E20" s="81"/>
      <x:c r="F20" s="81"/>
      <x:c r="G20" s="81"/>
      <x:c r="H20" s="25"/>
      <x:c r="I20" s="25"/>
      <x:c r="J20" s="25"/>
      <x:c r="K20" s="25"/>
    </x:row>
    <x:row r="21" ht="20" customHeight="1">
      <x:c r="A21" s="7"/>
      <x:c r="B21" s="81"/>
      <x:c r="C21" s="81"/>
      <x:c r="D21" s="81"/>
      <x:c r="E21" s="81"/>
      <x:c r="F21" s="81"/>
      <x:c r="G21" s="81"/>
      <x:c r="H21" s="25"/>
      <x:c r="I21" s="25"/>
      <x:c r="J21" s="25"/>
      <x:c r="K21" s="25"/>
    </x:row>
    <x:row r="22" ht="22" customHeight="1">
      <x:c r="A22" s="78"/>
      <x:c r="B22" s="82"/>
      <x:c r="C22" s="82"/>
      <x:c r="D22" s="82"/>
      <x:c r="E22" s="82"/>
      <x:c r="F22" s="82"/>
      <x:c r="G22" s="82"/>
    </x:row>
    <x:row r="23" ht="20" customHeight="1">
      <x:c r="A23" s="7" t="str">
        <x:v>Forward revenue proxy: TEAM FY27 (Jun year end); DDOG/FROG 5/12 CY26 guide + 7/12 CY27 analyst forecast. Approximates Aug26-Jul27, not consensus NTM. Snapshot statements lag valuation by two months.</x:v>
      </x:c>
      <x:c r="B23" s="81"/>
      <x:c r="C23" s="81"/>
      <x:c r="D23" s="81"/>
      <x:c r="E23" s="81"/>
      <x:c r="F23" s="81"/>
      <x:c r="G23" s="81"/>
      <x:c r="H23" s="25"/>
      <x:c r="I23" s="25"/>
      <x:c r="J23" s="25"/>
      <x:c r="K23" s="25"/>
    </x:row>
    <x:row r="24" ht="20" customHeight="1">
      <x:c r="A24" s="7"/>
      <x:c r="B24" s="81"/>
      <x:c r="C24" s="81"/>
      <x:c r="D24" s="81"/>
      <x:c r="E24" s="81"/>
      <x:c r="F24" s="81"/>
      <x:c r="G24" s="81"/>
      <x:c r="H24" s="25"/>
      <x:c r="I24" s="25"/>
      <x:c r="J24" s="25"/>
      <x:c r="K24" s="25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 t="str">
        <x:v>GitLab forward revenue Aug26-Jul27</x:v>
      </x:c>
      <x:c r="B27" s="83" t="n">
        <x:f>('05_GTLB_Forecast'!B5-'04_GTLB_Historical'!F5)+'01_Assumptions'!$B$45*'05_GTLB_Forecast'!C5</x:f>
        <x:v>1247.878</x:v>
      </x:c>
      <x:c r="C27" s="82"/>
      <x:c r="D27" s="82"/>
      <x:c r="E27" s="82"/>
      <x:c r="F27" s="82"/>
      <x:c r="G27" s="82"/>
    </x:row>
    <x:row r="28" ht="22" customHeight="1">
      <x:c r="A28" s="78" t="str">
        <x:v>Trading comps low price</x:v>
      </x:c>
      <x:c r="B28" s="84" t="n">
        <x:f>(B27*MIN(I5:I7)+'07_Valuation_DCF'!B25)/'08_Transaction'!B10</x:f>
        <x:v>53.261010857364</x:v>
      </x:c>
      <x:c r="C28" s="82"/>
      <x:c r="D28" s="82"/>
      <x:c r="E28" s="82"/>
      <x:c r="F28" s="82"/>
      <x:c r="G28" s="82"/>
    </x:row>
    <x:row r="29" ht="22" customHeight="1">
      <x:c r="A29" s="110" t="str">
        <x:v>Trading comps median price</x:v>
      </x:c>
      <x:c r="B29" s="121" t="n">
        <x:f>(B27*I9+'07_Valuation_DCF'!B25)/'08_Transaction'!B10</x:f>
        <x:v>104.007415155889</x:v>
      </x:c>
      <x:c r="C29" s="122"/>
      <x:c r="D29" s="122"/>
      <x:c r="E29" s="122"/>
      <x:c r="F29" s="122"/>
      <x:c r="G29" s="122"/>
    </x:row>
    <x:row r="30" ht="22" customHeight="1">
      <x:c r="A30" s="78" t="str">
        <x:v>Trading comps high price</x:v>
      </x:c>
      <x:c r="B30" s="84" t="n">
        <x:f>(B27*MAX(I5:I7)+'07_Valuation_DCF'!B25)/'08_Transaction'!B10</x:f>
        <x:v>108.6291905705576</x:v>
      </x:c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0" customHeight="1">
      <x:c r="A33" s="7" t="str">
        <x:v>JFrog is closest on software delivery; Atlassian adds workflow/developer collaboration; Datadog is an adjacent observability benchmark with faster growth. The wide range is contextual and receives no mechanical acquisition premium.</x:v>
      </x:c>
      <x:c r="B33" s="81"/>
      <x:c r="C33" s="81"/>
      <x:c r="D33" s="81"/>
      <x:c r="E33" s="81"/>
      <x:c r="F33" s="81"/>
      <x:c r="G33" s="81"/>
      <x:c r="H33" s="25"/>
      <x:c r="I33" s="25"/>
      <x:c r="J33" s="25"/>
      <x:c r="K33" s="25"/>
    </x:row>
    <x:row r="34" ht="20" customHeight="1">
      <x:c r="A34" s="7"/>
      <x:c r="B34" s="81"/>
      <x:c r="C34" s="81"/>
      <x:c r="D34" s="81"/>
      <x:c r="E34" s="81"/>
      <x:c r="F34" s="81"/>
      <x:c r="G34" s="81"/>
      <x:c r="H34" s="25"/>
      <x:c r="I34" s="25"/>
      <x:c r="J34" s="25"/>
      <x:c r="K34" s="25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13:G13"/>
    <x:mergeCell ref="A20:K21"/>
    <x:mergeCell ref="A23:K24"/>
    <x:mergeCell ref="A33:K34"/>
  </x:mergeCells>
  <x:pageMargins left="0.7" right="0.7" top="0.75" bottom="0.75" header="0.3" footer="0.3"/>
  <x:legacyDrawing xmlns:r="http://schemas.openxmlformats.org/officeDocument/2006/relationships" r:id="R779e0c9122c841f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Valuation DCF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FY2027E</x:v>
      </x:c>
      <x:c r="C4" s="109" t="str">
        <x:v>FY2028E</x:v>
      </x:c>
      <x:c r="D4" s="109" t="str">
        <x:v>FY2029E</x:v>
      </x:c>
      <x:c r="E4" s="109" t="str">
        <x:v>FY2030E</x:v>
      </x:c>
      <x:c r="F4" s="109" t="str">
        <x:v>FY2031E</x:v>
      </x:c>
      <x:c r="G4" s="109" t="str">
        <x:v>FY2032E</x:v>
      </x:c>
    </x:row>
    <x:row r="5" ht="22" customHeight="1">
      <x:c r="A5" s="78" t="str">
        <x:v>Revenue</x:v>
      </x:c>
      <x:c r="B5" s="83" t="n">
        <x:f>'05_GTLB_Forecast'!B5</x:f>
        <x:v>1131</x:v>
      </x:c>
      <x:c r="C5" s="83" t="n">
        <x:f>'05_GTLB_Forecast'!C5</x:f>
        <x:v>1334.58</x:v>
      </x:c>
      <x:c r="D5" s="83" t="n">
        <x:f>'05_GTLB_Forecast'!D5</x:f>
        <x:v>1548.1127999999999</x:v>
      </x:c>
      <x:c r="E5" s="83" t="n">
        <x:f>'05_GTLB_Forecast'!E5</x:f>
        <x:v>1764.848592</x:v>
      </x:c>
      <x:c r="F5" s="83" t="n">
        <x:f>'05_GTLB_Forecast'!F5</x:f>
        <x:v>1976.6304230400003</x:v>
      </x:c>
      <x:c r="G5" s="83" t="n">
        <x:f>'05_GTLB_Forecast'!G5</x:f>
        <x:v>2174.2934653440007</x:v>
      </x:c>
    </x:row>
    <x:row r="6" ht="22" customHeight="1">
      <x:c r="A6" s="78" t="str">
        <x:v>GAAP EBIT after SBC</x:v>
      </x:c>
      <x:c r="B6" s="83" t="n">
        <x:f>'05_GTLB_Forecast'!B12</x:f>
        <x:v>-101.78999999999999</x:v>
      </x:c>
      <x:c r="C6" s="83" t="n">
        <x:f>'05_GTLB_Forecast'!C12</x:f>
        <x:v>-26.691599999999994</x:v>
      </x:c>
      <x:c r="D6" s="83" t="n">
        <x:f>'05_GTLB_Forecast'!D12</x:f>
        <x:v>61.924511999999936</x:v>
      </x:c>
      <x:c r="E6" s="83" t="n">
        <x:f>'05_GTLB_Forecast'!E12</x:f>
        <x:v>158.83637328000003</x:v>
      </x:c>
      <x:c r="F6" s="83" t="n">
        <x:f>'05_GTLB_Forecast'!F12</x:f>
        <x:v>256.9619549952</x:v>
      </x:c>
      <x:c r="G6" s="83" t="n">
        <x:f>'05_GTLB_Forecast'!G12</x:f>
        <x:v>369.6298891084801</x:v>
      </x:c>
    </x:row>
    <x:row r="7" ht="22" customHeight="1">
      <x:c r="A7" s="78" t="str">
        <x:v>Cash operating tax</x:v>
      </x:c>
      <x:c r="B7" s="83" t="n">
        <x:f>'05_GTLB_Forecast'!B27</x:f>
        <x:v>0</x:v>
      </x:c>
      <x:c r="C7" s="83" t="n">
        <x:f>'05_GTLB_Forecast'!C27</x:f>
        <x:v>0</x:v>
      </x:c>
      <x:c r="D7" s="83" t="n">
        <x:f>'05_GTLB_Forecast'!D27</x:f>
        <x:v>14.552260319999984</x:v>
      </x:c>
      <x:c r="E7" s="83" t="n">
        <x:f>'05_GTLB_Forecast'!E27</x:f>
        <x:v>37.32654772080001</x:v>
      </x:c>
      <x:c r="F7" s="83" t="n">
        <x:f>'05_GTLB_Forecast'!F27</x:f>
        <x:v>60.386059423872</x:v>
      </x:c>
      <x:c r="G7" s="83" t="n">
        <x:f>'05_GTLB_Forecast'!G27</x:f>
        <x:v>86.86302394049281</x:v>
      </x:c>
    </x:row>
    <x:row r="8" ht="22" customHeight="1">
      <x:c r="A8" s="78" t="str">
        <x:v>NOPAT</x:v>
      </x:c>
      <x:c r="B8" s="83" t="n">
        <x:f>'05_GTLB_Forecast'!B28</x:f>
        <x:v>-101.78999999999999</x:v>
      </x:c>
      <x:c r="C8" s="83" t="n">
        <x:f>'05_GTLB_Forecast'!C28</x:f>
        <x:v>-26.691599999999994</x:v>
      </x:c>
      <x:c r="D8" s="83" t="n">
        <x:f>'05_GTLB_Forecast'!D28</x:f>
        <x:v>47.37225167999995</x:v>
      </x:c>
      <x:c r="E8" s="83" t="n">
        <x:f>'05_GTLB_Forecast'!E28</x:f>
        <x:v>121.50982555920002</x:v>
      </x:c>
      <x:c r="F8" s="83" t="n">
        <x:f>'05_GTLB_Forecast'!F28</x:f>
        <x:v>196.57589557132803</x:v>
      </x:c>
      <x:c r="G8" s="83" t="n">
        <x:f>'05_GTLB_Forecast'!G28</x:f>
        <x:v>282.76686516798725</x:v>
      </x:c>
    </x:row>
    <x:row r="9" ht="22" customHeight="1">
      <x:c r="A9" s="78" t="str">
        <x:v>D&amp;A</x:v>
      </x:c>
      <x:c r="B9" s="83" t="n">
        <x:f>'05_GTLB_Forecast'!B22</x:f>
        <x:v>13.572000000000001</x:v>
      </x:c>
      <x:c r="C9" s="83" t="n">
        <x:f>'05_GTLB_Forecast'!C22</x:f>
        <x:v>16.01496</x:v>
      </x:c>
      <x:c r="D9" s="83" t="n">
        <x:f>'05_GTLB_Forecast'!D22</x:f>
        <x:v>18.5773536</x:v>
      </x:c>
      <x:c r="E9" s="83" t="n">
        <x:f>'05_GTLB_Forecast'!E22</x:f>
        <x:v>21.178183104000002</x:v>
      </x:c>
      <x:c r="F9" s="83" t="n">
        <x:f>'05_GTLB_Forecast'!F22</x:f>
        <x:v>23.719565076480006</x:v>
      </x:c>
      <x:c r="G9" s="83" t="n">
        <x:f>'05_GTLB_Forecast'!G22</x:f>
        <x:v>26.091521584128007</x:v>
      </x:c>
    </x:row>
    <x:row r="10" ht="22" customHeight="1">
      <x:c r="A10" s="78" t="str">
        <x:v>Capex</x:v>
      </x:c>
      <x:c r="B10" s="83" t="n">
        <x:f>'05_GTLB_Forecast'!B23</x:f>
        <x:v>11.31</x:v>
      </x:c>
      <x:c r="C10" s="83" t="n">
        <x:f>'05_GTLB_Forecast'!C23</x:f>
        <x:v>13.345799999999999</x:v>
      </x:c>
      <x:c r="D10" s="83" t="n">
        <x:f>'05_GTLB_Forecast'!D23</x:f>
        <x:v>15.481128</x:v>
      </x:c>
      <x:c r="E10" s="83" t="n">
        <x:f>'05_GTLB_Forecast'!E23</x:f>
        <x:v>17.648485920000002</x:v>
      </x:c>
      <x:c r="F10" s="83" t="n">
        <x:f>'05_GTLB_Forecast'!F23</x:f>
        <x:v>19.766304230400003</x:v>
      </x:c>
      <x:c r="G10" s="83" t="n">
        <x:f>'05_GTLB_Forecast'!G23</x:f>
        <x:v>21.742934653440006</x:v>
      </x:c>
    </x:row>
    <x:row r="11" ht="22" customHeight="1">
      <x:c r="A11" s="78" t="str">
        <x:v>Change in operating NWC</x:v>
      </x:c>
      <x:c r="B11" s="83" t="n">
        <x:f>'05_GTLB_Forecast'!B26</x:f>
        <x:v>55.976</x:v>
      </x:c>
      <x:c r="C11" s="83" t="n">
        <x:f>'05_GTLB_Forecast'!C26</x:f>
        <x:v>-36.64439999999999</x:v>
      </x:c>
      <x:c r="D11" s="83" t="n">
        <x:f>'05_GTLB_Forecast'!D26</x:f>
        <x:v>-38.435903999999965</x:v>
      </x:c>
      <x:c r="E11" s="83" t="n">
        <x:f>'05_GTLB_Forecast'!E26</x:f>
        <x:v>-39.01244256000007</x:v>
      </x:c>
      <x:c r="F11" s="83" t="n">
        <x:f>'05_GTLB_Forecast'!F26</x:f>
        <x:v>-38.12072958720006</x:v>
      </x:c>
      <x:c r="G11" s="83" t="n">
        <x:f>'05_GTLB_Forecast'!G26</x:f>
        <x:v>-35.579347614720064</x:v>
      </x:c>
    </x:row>
    <x:row r="12" ht="22" customHeight="1">
      <x:c r="A12" s="110" t="str">
        <x:v>Full-year unlevered FCF</x:v>
      </x:c>
      <x:c r="B12" s="119" t="n">
        <x:f>'05_GTLB_Forecast'!B29</x:f>
        <x:v>-155.504</x:v>
      </x:c>
      <x:c r="C12" s="119" t="n">
        <x:f>'05_GTLB_Forecast'!C29</x:f>
        <x:v>12.621959999999994</x:v>
      </x:c>
      <x:c r="D12" s="119" t="n">
        <x:f>'05_GTLB_Forecast'!D29</x:f>
        <x:v>88.90438127999991</x:v>
      </x:c>
      <x:c r="E12" s="119" t="n">
        <x:f>'05_GTLB_Forecast'!E29</x:f>
        <x:v>164.05196530320012</x:v>
      </x:c>
      <x:c r="F12" s="119" t="n">
        <x:f>'05_GTLB_Forecast'!F29</x:f>
        <x:v>238.64988600460808</x:v>
      </x:c>
      <x:c r="G12" s="119" t="n">
        <x:f>'05_GTLB_Forecast'!G29</x:f>
        <x:v>322.69479971339535</x:v>
      </x:c>
    </x:row>
    <x:row r="13" ht="22" customHeight="1">
      <x:c r="A13" s="78" t="str">
        <x:v>Fraction of forecast cash flow included</x:v>
      </x:c>
      <x:c r="B13" s="83" t="n">
        <x:f>('01_Assumptions'!$B$47-1-'01_Assumptions'!$B$48)/'01_Assumptions'!$B$44</x:f>
        <x:v>0.40821917808219177</x:v>
      </x:c>
      <x:c r="C13" s="112" t="n">
        <x:f>1</x:f>
        <x:v>1</x:v>
      </x:c>
      <x:c r="D13" s="112" t="n">
        <x:f>1</x:f>
        <x:v>1</x:v>
      </x:c>
      <x:c r="E13" s="112" t="n">
        <x:f>1</x:f>
        <x:v>1</x:v>
      </x:c>
      <x:c r="F13" s="112" t="n">
        <x:f>1</x:f>
        <x:v>1</x:v>
      </x:c>
      <x:c r="G13" s="112" t="n">
        <x:f>1</x:f>
        <x:v>1</x:v>
      </x:c>
    </x:row>
    <x:row r="14" ht="22" customHeight="1">
      <x:c r="A14" s="78" t="str">
        <x:v>Included FCF</x:v>
      </x:c>
      <x:c r="B14" s="112" t="n">
        <x:f>B12*B13</x:f>
        <x:v>-63.47971506849314</x:v>
      </x:c>
      <x:c r="C14" s="112" t="n">
        <x:f>C12*C13</x:f>
        <x:v>12.621959999999994</x:v>
      </x:c>
      <x:c r="D14" s="112" t="n">
        <x:f>D12*D13</x:f>
        <x:v>88.90438127999991</x:v>
      </x:c>
      <x:c r="E14" s="112" t="n">
        <x:f>E12*E13</x:f>
        <x:v>164.05196530320012</x:v>
      </x:c>
      <x:c r="F14" s="112" t="n">
        <x:f>F12*F13</x:f>
        <x:v>238.64988600460808</x:v>
      </x:c>
      <x:c r="G14" s="112" t="n">
        <x:f>G12*G13</x:f>
        <x:v>322.69479971339535</x:v>
      </x:c>
    </x:row>
    <x:row r="15" ht="22" customHeight="1">
      <x:c r="A15" s="78" t="str">
        <x:v>Years to cash flow</x:v>
      </x:c>
      <x:c r="B15" s="112" t="n">
        <x:f>B13</x:f>
        <x:v>0.40821917808219177</x:v>
      </x:c>
      <x:c r="C15" s="112" t="n">
        <x:f>B15+1</x:f>
        <x:v>1.4082191780821918</x:v>
      </x:c>
      <x:c r="D15" s="112" t="n">
        <x:f>C15+1</x:f>
        <x:v>2.4082191780821915</x:v>
      </x:c>
      <x:c r="E15" s="112" t="n">
        <x:f>D15+1</x:f>
        <x:v>3.4082191780821915</x:v>
      </x:c>
      <x:c r="F15" s="112" t="n">
        <x:f>E15+1</x:f>
        <x:v>4.4082191780821915</x:v>
      </x:c>
      <x:c r="G15" s="112" t="n">
        <x:f>F15+1</x:f>
        <x:v>5.4082191780821915</x:v>
      </x:c>
    </x:row>
    <x:row r="16" ht="22" customHeight="1">
      <x:c r="A16" s="78" t="str">
        <x:v>Discount factor</x:v>
      </x:c>
      <x:c r="B16" s="83" t="n">
        <x:f>1/(1+'01_Assumptions'!$B$40)^B15</x:f>
        <x:v>0.9565363805935332</x:v>
      </x:c>
      <x:c r="C16" s="83" t="n">
        <x:f>1/(1+'01_Assumptions'!$B$40)^C15</x:f>
        <x:v>0.8578801619672943</x:v>
      </x:c>
      <x:c r="D16" s="83" t="n">
        <x:f>1/(1+'01_Assumptions'!$B$40)^D15</x:f>
        <x:v>0.7693992484011608</x:v>
      </x:c>
      <x:c r="E16" s="83" t="n">
        <x:f>1/(1+'01_Assumptions'!$B$40)^E15</x:f>
        <x:v>0.6900441689696509</x:v>
      </x:c>
      <x:c r="F16" s="83" t="n">
        <x:f>1/(1+'01_Assumptions'!$B$40)^F15</x:f>
        <x:v>0.6188736941431847</x:v>
      </x:c>
      <x:c r="G16" s="83" t="n">
        <x:f>1/(1+'01_Assumptions'!$B$40)^G15</x:f>
        <x:v>0.5550436718772958</x:v>
      </x:c>
    </x:row>
    <x:row r="17" ht="22" customHeight="1">
      <x:c r="A17" s="110" t="str">
        <x:v>Present value of FCF</x:v>
      </x:c>
      <x:c r="B17" s="113" t="n">
        <x:f>B14*B16</x:f>
        <x:v>-60.7206568927252</x:v>
      </x:c>
      <x:c r="C17" s="113" t="n">
        <x:f>C14*C16</x:f>
        <x:v>10.828129089144705</x:v>
      </x:c>
      <x:c r="D17" s="113" t="n">
        <x:f>D14*D16</x:f>
        <x:v>68.40296413640216</x:v>
      </x:c>
      <x:c r="E17" s="113" t="n">
        <x:f>E14*E16</x:f>
        <x:v>113.20310206548473</x:v>
      </x:c>
      <x:c r="F17" s="113" t="n">
        <x:f>F14*F16</x:f>
        <x:v>147.6941365585217</x:v>
      </x:c>
      <x:c r="G17" s="113" t="n">
        <x:f>G14*G16</x:f>
        <x:v>179.10970652863148</x:v>
      </x:c>
    </x:row>
    <x:row r="18" ht="22" customHeight="1">
      <x:c r="A18" s="78"/>
      <x:c r="B18" s="82"/>
      <x:c r="C18" s="82"/>
      <x:c r="D18" s="82"/>
      <x:c r="E18" s="82"/>
      <x:c r="F18" s="82"/>
      <x:c r="G18" s="82"/>
    </x:row>
    <x:row r="19" ht="22" customHeight="1">
      <x:c r="A19" s="78"/>
      <x:c r="B19" s="82"/>
      <x:c r="C19" s="82"/>
      <x:c r="D19" s="82"/>
      <x:c r="E19" s="82"/>
      <x:c r="F19" s="82"/>
      <x:c r="G19" s="82"/>
    </x:row>
    <x:row r="20" ht="22" customHeight="1">
      <x:c r="A20" s="78" t="str">
        <x:v>PV of explicit FCF</x:v>
      </x:c>
      <x:c r="B20" s="112" t="n">
        <x:f>SUM(B17:G17)</x:f>
        <x:v>458.51738148545957</x:v>
      </x:c>
      <x:c r="C20" s="82"/>
      <x:c r="D20" s="82"/>
      <x:c r="E20" s="82"/>
      <x:c r="F20" s="82"/>
      <x:c r="G20" s="82"/>
    </x:row>
    <x:row r="21" ht="22" customHeight="1">
      <x:c r="A21" s="78" t="str">
        <x:v>Terminal FCF (normalized reinvestment)</x:v>
      </x:c>
      <x:c r="B21" s="83" t="n">
        <x:f>(G6*(1+'01_Assumptions'!$B$41))*(1-'01_Assumptions'!$B$16)+(G9-G10)*(1+'01_Assumptions'!$B$41)-'05_GTLB_Forecast'!G24*G5*'01_Assumptions'!$B$41</x:f>
        <x:v>304.0776589951901</x:v>
      </x:c>
      <x:c r="C21" s="82"/>
      <x:c r="D21" s="82"/>
      <x:c r="E21" s="82"/>
      <x:c r="F21" s="82"/>
      <x:c r="G21" s="82"/>
    </x:row>
    <x:row r="22" ht="22" customHeight="1">
      <x:c r="A22" s="78" t="str">
        <x:v>Gordon terminal value</x:v>
      </x:c>
      <x:c r="B22" s="83" t="n">
        <x:f>B21/('01_Assumptions'!$B$40-'01_Assumptions'!$B$41)</x:f>
        <x:v>3378.6406555021126</x:v>
      </x:c>
      <x:c r="C22" s="82"/>
      <x:c r="D22" s="82"/>
      <x:c r="E22" s="82"/>
      <x:c r="F22" s="82"/>
      <x:c r="G22" s="82"/>
    </x:row>
    <x:row r="23" ht="22" customHeight="1">
      <x:c r="A23" s="78" t="str">
        <x:v>PV of Gordon terminal value</x:v>
      </x:c>
      <x:c r="B23" s="112" t="n">
        <x:f>B22*G16</x:f>
        <x:v>1875.293115383806</x:v>
      </x:c>
      <x:c r="C23" s="82"/>
      <x:c r="D23" s="82"/>
      <x:c r="E23" s="82"/>
      <x:c r="F23" s="82"/>
      <x:c r="G23" s="82"/>
    </x:row>
    <x:row r="24" ht="22" customHeight="1">
      <x:c r="A24" s="110" t="str">
        <x:v>Gordon enterprise value</x:v>
      </x:c>
      <x:c r="B24" s="113" t="n">
        <x:f>SUM(B20,B23)</x:f>
        <x:v>2333.8104968692655</x:v>
      </x:c>
      <x:c r="C24" s="122"/>
      <x:c r="D24" s="122"/>
      <x:c r="E24" s="122"/>
      <x:c r="F24" s="122"/>
      <x:c r="G24" s="122"/>
    </x:row>
    <x:row r="25" ht="22" customHeight="1">
      <x:c r="A25" s="78" t="str">
        <x:v>Accessible cash less debt and NCI</x:v>
      </x:c>
      <x:c r="B25" s="83" t="n">
        <x:f>-SUM('08_Transaction'!B12:B14)</x:f>
        <x:v>1164.9279999999999</x:v>
      </x:c>
      <x:c r="C25" s="82"/>
      <x:c r="D25" s="82"/>
      <x:c r="E25" s="82"/>
      <x:c r="F25" s="82"/>
      <x:c r="G25" s="82"/>
    </x:row>
    <x:row r="26" ht="22" customHeight="1">
      <x:c r="A26" s="78" t="str">
        <x:v>Gordon equity value</x:v>
      </x:c>
      <x:c r="B26" s="112" t="n">
        <x:f>SUM(B24:B25)</x:f>
        <x:v>3498.7384968692654</x:v>
      </x:c>
      <x:c r="C26" s="82"/>
      <x:c r="D26" s="82"/>
      <x:c r="E26" s="82"/>
      <x:c r="F26" s="82"/>
      <x:c r="G26" s="82"/>
    </x:row>
    <x:row r="27" ht="22" customHeight="1">
      <x:c r="A27" s="110" t="str">
        <x:v>Gordon value per deal share</x:v>
      </x:c>
      <x:c r="B27" s="121" t="n">
        <x:f>B26/'08_Transaction'!B10</x:f>
        <x:v>20.308324753566936</x:v>
      </x:c>
      <x:c r="C27" s="122"/>
      <x:c r="D27" s="122"/>
      <x:c r="E27" s="122"/>
      <x:c r="F27" s="122"/>
      <x:c r="G27" s="12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 t="str">
        <x:v>Exit enterprise value</x:v>
      </x:c>
      <x:c r="B29" s="83" t="n">
        <x:f>B20+G6*'01_Assumptions'!$B$42*G16</x:f>
        <x:v>4561.731999212829</x:v>
      </x:c>
      <x:c r="C29" s="82"/>
      <x:c r="D29" s="82"/>
      <x:c r="E29" s="82"/>
      <x:c r="F29" s="82"/>
      <x:c r="G29" s="82"/>
    </x:row>
    <x:row r="30" ht="22" customHeight="1">
      <x:c r="A30" s="110" t="str">
        <x:v>Exit value per deal share</x:v>
      </x:c>
      <x:c r="B30" s="121" t="n">
        <x:f>(B29+B25)/'08_Transaction'!B10</x:f>
        <x:v>33.24022962028795</x:v>
      </x:c>
      <x:c r="C30" s="122"/>
      <x:c r="D30" s="122"/>
      <x:c r="E30" s="122"/>
      <x:c r="F30" s="122"/>
      <x:c r="G30" s="122"/>
    </x:row>
    <x:row r="31" ht="22" customHeight="1">
      <x:c r="A31" s="78" t="str">
        <x:v>Terminal PV / Gordon EV</x:v>
      </x:c>
      <x:c r="B31" s="115" t="n">
        <x:f>B23/B24</x:f>
        <x:v>0.8035327280854438</x:v>
      </x:c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0" customHeight="1">
      <x:c r="A34" s="7" t="str">
        <x:v>End-year discounting; FY27 stub prorated by days from valuation to 31 Jan 2027. Terminal NWC growth resets to terminal growth (not FY32 growth). No SBC add-back. Exit method uses GAAP EBIT.</x:v>
      </x:c>
      <x:c r="B34" s="81"/>
      <x:c r="C34" s="81"/>
      <x:c r="D34" s="81"/>
      <x:c r="E34" s="81"/>
      <x:c r="F34" s="81"/>
      <x:c r="G34" s="81"/>
    </x:row>
    <x:row r="35" ht="20" customHeight="1">
      <x:c r="A35" s="7"/>
      <x:c r="B35" s="81"/>
      <x:c r="C35" s="81"/>
      <x:c r="D35" s="81"/>
      <x:c r="E35" s="81"/>
      <x:c r="F35" s="81"/>
      <x:c r="G35" s="81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34:G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Transaction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2" customHeight="1">
      <x:c r="A5" s="78" t="str">
        <x:v>Reference GitLab share price</x:v>
      </x:c>
      <x:c r="B5" s="84" t="n">
        <x:f>'01_Assumptions'!$B$5</x:f>
        <x:v>49.83</x:v>
      </x:c>
      <x:c r="C5" s="82"/>
      <x:c r="D5" s="82"/>
      <x:c r="E5" s="82"/>
      <x:c r="F5" s="82"/>
      <x:c r="G5" s="82"/>
    </x:row>
    <x:row r="6" ht="22" customHeight="1">
      <x:c r="A6" s="78" t="str">
        <x:v>Premium</x:v>
      </x:c>
      <x:c r="B6" s="85" t="n">
        <x:f>'01_Assumptions'!$B$7</x:f>
        <x:v>0.25</x:v>
      </x:c>
      <x:c r="C6" s="82"/>
      <x:c r="D6" s="82"/>
      <x:c r="E6" s="82"/>
      <x:c r="F6" s="82"/>
      <x:c r="G6" s="82"/>
    </x:row>
    <x:row r="7" ht="22" customHeight="1">
      <x:c r="A7" s="110" t="str">
        <x:v>Offer price</x:v>
      </x:c>
      <x:c r="B7" s="120" t="n">
        <x:f>B5*(1+B6)</x:f>
        <x:v>62.287499999999994</x:v>
      </x:c>
      <x:c r="C7" s="122"/>
      <x:c r="D7" s="122"/>
      <x:c r="E7" s="122"/>
      <x:c r="F7" s="122"/>
      <x:c r="G7" s="122"/>
    </x:row>
    <x:row r="8" ht="22" customHeight="1">
      <x:c r="A8" s="78" t="str">
        <x:v>Common shares at latest balance date</x:v>
      </x:c>
      <x:c r="B8" s="83" t="n">
        <x:f>SUM('01_Assumptions'!$B$8,'01_Assumptions'!$B$9)</x:f>
        <x:v>167.281</x:v>
      </x:c>
      <x:c r="C8" s="82"/>
      <x:c r="D8" s="82"/>
      <x:c r="E8" s="82"/>
      <x:c r="F8" s="82"/>
      <x:c r="G8" s="82"/>
    </x:row>
    <x:row r="9" ht="22" customHeight="1">
      <x:c r="A9" s="78" t="str">
        <x:v>Incremental award equivalents</x:v>
      </x:c>
      <x:c r="B9" s="83" t="n">
        <x:f>'01_Assumptions'!$B$10</x:f>
        <x:v>5</x:v>
      </x:c>
      <x:c r="C9" s="82"/>
      <x:c r="D9" s="82"/>
      <x:c r="E9" s="82"/>
      <x:c r="F9" s="82"/>
      <x:c r="G9" s="82"/>
    </x:row>
    <x:row r="10" ht="22" customHeight="1">
      <x:c r="A10" s="78" t="str">
        <x:v>Fully diluted deal shares</x:v>
      </x:c>
      <x:c r="B10" s="112" t="n">
        <x:f>SUM(B8:B9)</x:f>
        <x:v>172.281</x:v>
      </x:c>
      <x:c r="C10" s="82"/>
      <x:c r="D10" s="82"/>
      <x:c r="E10" s="82"/>
      <x:c r="F10" s="82"/>
      <x:c r="G10" s="82"/>
    </x:row>
    <x:row r="11" ht="22" customHeight="1">
      <x:c r="A11" s="110" t="str">
        <x:v>Equity purchase consideration</x:v>
      </x:c>
      <x:c r="B11" s="113" t="n">
        <x:f>B7*B10</x:f>
        <x:v>10730.952787499999</x:v>
      </x:c>
      <x:c r="C11" s="122"/>
      <x:c r="D11" s="122"/>
      <x:c r="E11" s="122"/>
      <x:c r="F11" s="122"/>
      <x:c r="G11" s="122"/>
    </x:row>
    <x:row r="12" ht="22" customHeight="1">
      <x:c r="A12" s="78" t="str">
        <x:v>Debt assumed / refinanced</x:v>
      </x:c>
      <x:c r="B12" s="83" t="n">
        <x:f>'04_GTLB_Historical'!B36</x:f>
        <x:v>0</x:v>
      </x:c>
      <x:c r="C12" s="82"/>
      <x:c r="D12" s="82"/>
      <x:c r="E12" s="82"/>
      <x:c r="F12" s="82"/>
      <x:c r="G12" s="82"/>
    </x:row>
    <x:row r="13" ht="22" customHeight="1">
      <x:c r="A13" s="78" t="str">
        <x:v>NCI at book value proxy</x:v>
      </x:c>
      <x:c r="B13" s="83" t="n">
        <x:f>'04_GTLB_Historical'!B40</x:f>
        <x:v>45.958</x:v>
      </x:c>
      <x:c r="C13" s="82"/>
      <x:c r="D13" s="82"/>
      <x:c r="E13" s="82"/>
      <x:c r="F13" s="82"/>
      <x:c r="G13" s="82"/>
    </x:row>
    <x:row r="14" ht="22" customHeight="1">
      <x:c r="A14" s="78" t="str">
        <x:v>Less accessible cash / investments</x:v>
      </x:c>
      <x:c r="B14" s="83" t="n">
        <x:f>-('04_GTLB_Historical'!B34+'04_GTLB_Historical'!B35-'01_Assumptions'!$B$43)</x:f>
        <x:v>-1210.886</x:v>
      </x:c>
      <x:c r="C14" s="82"/>
      <x:c r="D14" s="82"/>
      <x:c r="E14" s="82"/>
      <x:c r="F14" s="82"/>
      <x:c r="G14" s="82"/>
    </x:row>
    <x:row r="15" ht="22" customHeight="1">
      <x:c r="A15" s="110" t="str">
        <x:v>Transaction enterprise value</x:v>
      </x:c>
      <x:c r="B15" s="113" t="n">
        <x:f>SUM(B11:B14)</x:f>
        <x:v>9566.024787499999</x:v>
      </x:c>
      <x:c r="C15" s="122"/>
      <x:c r="D15" s="122"/>
      <x:c r="E15" s="122"/>
      <x:c r="F15" s="122"/>
      <x:c r="G15" s="122"/>
    </x:row>
    <x:row r="16" ht="22" customHeight="1">
      <x:c r="A16" s="78" t="str">
        <x:v>EV / LTM revenue</x:v>
      </x:c>
      <x:c r="B16" s="123" t="n">
        <x:f>B15/'04_GTLB_Historical'!G5</x:f>
        <x:v>9.065886999403885</x:v>
      </x:c>
      <x:c r="C16" s="82"/>
      <x:c r="D16" s="82"/>
      <x:c r="E16" s="82"/>
      <x:c r="F16" s="82"/>
      <x:c r="G16" s="82"/>
    </x:row>
    <x:row r="17" ht="22" customHeight="1">
      <x:c r="A17" s="78" t="str">
        <x:v>EV / FY2027E revenue</x:v>
      </x:c>
      <x:c r="B17" s="123" t="n">
        <x:f>B15/'05_GTLB_Forecast'!B5</x:f>
        <x:v>8.458023684792218</x:v>
      </x:c>
      <x:c r="C17" s="82"/>
      <x:c r="D17" s="82"/>
      <x:c r="E17" s="82"/>
      <x:c r="F17" s="82"/>
      <x:c r="G17" s="82"/>
    </x:row>
    <x:row r="18" ht="22" customHeight="1">
      <x:c r="A18" s="78" t="str">
        <x:v>EV / FY2028E revenue</x:v>
      </x:c>
      <x:c r="B18" s="123" t="n">
        <x:f>B15/'05_GTLB_Forecast'!C5</x:f>
        <x:v>7.167816682027304</x:v>
      </x:c>
      <x:c r="C18" s="82"/>
      <x:c r="D18" s="82"/>
      <x:c r="E18" s="82"/>
      <x:c r="F18" s="82"/>
      <x:c r="G18" s="82"/>
    </x:row>
    <x:row r="19" ht="22" customHeight="1">
      <x:c r="A19" s="78"/>
      <x:c r="B19" s="82"/>
      <x:c r="C19" s="82"/>
      <x:c r="D19" s="82"/>
      <x:c r="E19" s="82"/>
      <x:c r="F19" s="82"/>
      <x:c r="G19" s="82"/>
    </x:row>
    <x:row r="20" ht="22" customHeight="1">
      <x:c r="A20" s="78"/>
      <x:c r="B20" s="82"/>
      <x:c r="C20" s="82"/>
      <x:c r="D20" s="82"/>
      <x:c r="E20" s="82"/>
      <x:c r="F20" s="82"/>
      <x:c r="G20" s="82"/>
    </x:row>
    <x:row r="21" ht="20" customHeight="1">
      <x:c r="A21" s="7" t="str">
        <x:v>Reference price is the 4 September 2026 close and may reflect transaction speculation. Both share classes are included; 5m award equivalents are assumed in fully diluted deal shares. Target cash is retained in the enterprise-value bridge.</x:v>
      </x:c>
      <x:c r="B21" s="81"/>
      <x:c r="C21" s="81"/>
      <x:c r="D21" s="81"/>
      <x:c r="E21" s="81"/>
      <x:c r="F21" s="81"/>
      <x:c r="G21" s="81"/>
    </x:row>
    <x:row r="22" ht="20" customHeight="1">
      <x:c r="A22" s="7"/>
      <x:c r="B22" s="81"/>
      <x:c r="C22" s="81"/>
      <x:c r="D22" s="81"/>
      <x:c r="E22" s="81"/>
      <x:c r="F22" s="81"/>
      <x:c r="G22" s="81"/>
    </x:row>
    <x:row r="23" ht="22" customHeight="1">
      <x:c r="A23" s="78"/>
      <x:c r="B23" s="82"/>
      <x:c r="C23" s="82"/>
      <x:c r="D23" s="82"/>
      <x:c r="E23" s="82"/>
      <x:c r="F23" s="82"/>
      <x:c r="G23" s="82"/>
    </x:row>
    <x:row r="24" ht="22" customHeight="1">
      <x:c r="A24" s="78"/>
      <x:c r="B24" s="82"/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21:G2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Sources Uses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111" t="str">
        <x:v>USES</x:v>
      </x:c>
      <x:c r="B4" s="126"/>
      <x:c r="C4" s="126"/>
      <x:c r="D4" s="126"/>
      <x:c r="E4" s="126"/>
      <x:c r="F4" s="126"/>
      <x:c r="G4" s="126"/>
    </x:row>
    <x:row r="5" ht="22" customHeight="1">
      <x:c r="A5" s="78" t="str">
        <x:v>Equity purchase price</x:v>
      </x:c>
      <x:c r="B5" s="83" t="n">
        <x:f>'08_Transaction'!B11</x:f>
        <x:v>10730.952787499999</x:v>
      </x:c>
      <x:c r="C5" s="82"/>
      <x:c r="D5" s="82"/>
      <x:c r="E5" s="82"/>
      <x:c r="F5" s="82"/>
      <x:c r="G5" s="82"/>
    </x:row>
    <x:row r="6" ht="22" customHeight="1">
      <x:c r="A6" s="78" t="str">
        <x:v>Target debt refinance</x:v>
      </x:c>
      <x:c r="B6" s="83" t="n">
        <x:f>'08_Transaction'!B12</x:f>
        <x:v>0</x:v>
      </x:c>
      <x:c r="C6" s="82"/>
      <x:c r="D6" s="82"/>
      <x:c r="E6" s="82"/>
      <x:c r="F6" s="82"/>
      <x:c r="G6" s="82"/>
    </x:row>
    <x:row r="7" ht="22" customHeight="1">
      <x:c r="A7" s="78" t="str">
        <x:v>Advisory / legal transaction fees</x:v>
      </x:c>
      <x:c r="B7" s="83" t="n">
        <x:f>B5*'01_Assumptions'!$B$17</x:f>
        <x:v>107.30952787499999</x:v>
      </x:c>
      <x:c r="C7" s="82"/>
      <x:c r="D7" s="82"/>
      <x:c r="E7" s="82"/>
      <x:c r="F7" s="82"/>
      <x:c r="G7" s="82"/>
    </x:row>
    <x:row r="8" ht="22" customHeight="1">
      <x:c r="A8" s="78" t="str">
        <x:v>Debt issuance fees</x:v>
      </x:c>
      <x:c r="B8" s="83" t="n">
        <x:f>B13*'01_Assumptions'!$B$18</x:f>
        <x:v>40.24107295312499</x:v>
      </x:c>
      <x:c r="C8" s="82"/>
      <x:c r="D8" s="82"/>
      <x:c r="E8" s="82"/>
      <x:c r="F8" s="82"/>
      <x:c r="G8" s="82"/>
    </x:row>
    <x:row r="9" ht="22" customHeight="1">
      <x:c r="A9" s="110" t="str">
        <x:v>Total uses</x:v>
      </x:c>
      <x:c r="B9" s="113" t="n">
        <x:f>SUM(B5:B8)</x:f>
        <x:v>10878.503388328125</x:v>
      </x:c>
      <x:c r="C9" s="122"/>
      <x:c r="D9" s="122"/>
      <x:c r="E9" s="122"/>
      <x:c r="F9" s="122"/>
      <x:c r="G9" s="122"/>
    </x:row>
    <x:row r="10" ht="22" customHeight="1">
      <x:c r="A10" s="78"/>
      <x:c r="B10" s="82"/>
      <x:c r="C10" s="82"/>
      <x:c r="D10" s="82"/>
      <x:c r="E10" s="82"/>
      <x:c r="F10" s="82"/>
      <x:c r="G10" s="82"/>
    </x:row>
    <x:row r="11" ht="26" customHeight="1">
      <x:c r="A11" s="111" t="str">
        <x:v>SOURCES</x:v>
      </x:c>
      <x:c r="B11" s="118"/>
      <x:c r="C11" s="118"/>
      <x:c r="D11" s="118"/>
      <x:c r="E11" s="118"/>
      <x:c r="F11" s="118"/>
      <x:c r="G11" s="118"/>
    </x:row>
    <x:row r="12" ht="22" customHeight="1">
      <x:c r="A12" s="78" t="str">
        <x:v>Salesforce balance-sheet cash</x:v>
      </x:c>
      <x:c r="B12" s="83" t="n">
        <x:f>B5*'01_Assumptions'!$B$11+SUM(B7:B8)</x:f>
        <x:v>2830.2887977031246</x:v>
      </x:c>
      <x:c r="C12" s="82"/>
      <x:c r="D12" s="82"/>
      <x:c r="E12" s="82"/>
      <x:c r="F12" s="82"/>
      <x:c r="G12" s="82"/>
    </x:row>
    <x:row r="13" ht="22" customHeight="1">
      <x:c r="A13" s="78" t="str">
        <x:v>New debt raised</x:v>
      </x:c>
      <x:c r="B13" s="83" t="n">
        <x:f>B5*'01_Assumptions'!$B$12+B6</x:f>
        <x:v>2682.7381968749996</x:v>
      </x:c>
      <x:c r="C13" s="82"/>
      <x:c r="D13" s="82"/>
      <x:c r="E13" s="82"/>
      <x:c r="F13" s="82"/>
      <x:c r="G13" s="82"/>
    </x:row>
    <x:row r="14" ht="22" customHeight="1">
      <x:c r="A14" s="78" t="str">
        <x:v>Salesforce stock consideration</x:v>
      </x:c>
      <x:c r="B14" s="83" t="n">
        <x:f>B5*'01_Assumptions'!$B$13</x:f>
        <x:v>5365.476393749999</x:v>
      </x:c>
      <x:c r="C14" s="82"/>
      <x:c r="D14" s="82"/>
      <x:c r="E14" s="82"/>
      <x:c r="F14" s="82"/>
      <x:c r="G14" s="82"/>
    </x:row>
    <x:row r="15" ht="22" customHeight="1">
      <x:c r="A15" s="110" t="str">
        <x:v>Total sources</x:v>
      </x:c>
      <x:c r="B15" s="113" t="n">
        <x:f>SUM(B12:B14)</x:f>
        <x:v>10878.503388328123</x:v>
      </x:c>
      <x:c r="C15" s="122"/>
      <x:c r="D15" s="122"/>
      <x:c r="E15" s="122"/>
      <x:c r="F15" s="122"/>
      <x:c r="G15" s="122"/>
    </x:row>
    <x:row r="16" ht="22" customHeight="1">
      <x:c r="A16" s="78"/>
      <x:c r="B16" s="82"/>
      <x:c r="C16" s="82"/>
      <x:c r="D16" s="82"/>
      <x:c r="E16" s="82"/>
      <x:c r="F16" s="82"/>
      <x:c r="G16" s="82"/>
    </x:row>
    <x:row r="17" ht="22" customHeight="1">
      <x:c r="A17" s="110" t="str">
        <x:v>Sources less uses</x:v>
      </x:c>
      <x:c r="B17" s="113" t="n">
        <x:f>B15-B9</x:f>
        <x:v>-1.8189894035458565e-12</x:v>
      </x:c>
      <x:c r="C17" s="122"/>
      <x:c r="D17" s="122"/>
      <x:c r="E17" s="122"/>
      <x:c r="F17" s="122"/>
      <x:c r="G17" s="122"/>
    </x:row>
    <x:row r="18" ht="22" customHeight="1">
      <x:c r="A18" s="78" t="str">
        <x:v>New Salesforce shares</x:v>
      </x:c>
      <x:c r="B18" s="83" t="n">
        <x:f>B14/'01_Assumptions'!$B$6</x:f>
        <x:v>20.697744835667162</x:v>
      </x:c>
      <x:c r="C18" s="82"/>
      <x:c r="D18" s="82"/>
      <x:c r="E18" s="82"/>
      <x:c r="F18" s="82"/>
      <x:c r="G18" s="82"/>
    </x:row>
    <x:row r="19" ht="22" customHeight="1">
      <x:c r="A19" s="78" t="str">
        <x:v>Annual incremental debt interest</x:v>
      </x:c>
      <x:c r="B19" s="83" t="n">
        <x:f>B13*'01_Assumptions'!$B$14</x:f>
        <x:v>174.377982796875</x:v>
      </x:c>
      <x:c r="C19" s="82"/>
      <x:c r="D19" s="82"/>
      <x:c r="E19" s="82"/>
      <x:c r="F19" s="82"/>
      <x:c r="G19" s="82"/>
    </x:row>
    <x:row r="20" ht="22" customHeight="1">
      <x:c r="A20" s="78" t="str">
        <x:v>Annual foregone interest income</x:v>
      </x:c>
      <x:c r="B20" s="83" t="n">
        <x:f>B12*'01_Assumptions'!$B$15</x:f>
        <x:v>113.21155190812499</x:v>
      </x:c>
      <x:c r="C20" s="82"/>
      <x:c r="D20" s="82"/>
      <x:c r="E20" s="82"/>
      <x:c r="F20" s="82"/>
      <x:c r="G20" s="82"/>
    </x:row>
    <x:row r="21" ht="22" customHeight="1">
      <x:c r="A21" s="78" t="str">
        <x:v>Annual debt-fee amortization</x:v>
      </x:c>
      <x:c r="B21" s="83" t="n">
        <x:f>B8/'01_Assumptions'!$B$19</x:f>
        <x:v>8.048214590624998</x:v>
      </x:c>
      <x:c r="C21" s="82"/>
      <x:c r="D21" s="82"/>
      <x:c r="E21" s="82"/>
      <x:c r="F21" s="82"/>
      <x:c r="G21" s="82"/>
    </x:row>
    <x:row r="22" ht="22" customHeight="1">
      <x:c r="A22" s="78"/>
      <x:c r="B22" s="82"/>
      <x:c r="C22" s="82"/>
      <x:c r="D22" s="82"/>
      <x:c r="E22" s="82"/>
      <x:c r="F22" s="82"/>
      <x:c r="G22" s="82"/>
    </x:row>
    <x:row r="23" ht="26" customHeight="1">
      <x:c r="A23" s="111" t="str">
        <x:v>LIQUIDITY AT STATIC CLOSING ANCHOR</x:v>
      </x:c>
      <x:c r="B23" s="118"/>
      <x:c r="C23" s="118"/>
      <x:c r="D23" s="118"/>
      <x:c r="E23" s="118"/>
      <x:c r="F23" s="118"/>
      <x:c r="G23" s="118"/>
    </x:row>
    <x:row r="24" ht="22" customHeight="1">
      <x:c r="A24" s="78" t="str">
        <x:v>CRM cash and liquid securities</x:v>
      </x:c>
      <x:c r="B24" s="83" t="n">
        <x:f>SUM('02_CRM_Historical'!B34:B35)</x:f>
        <x:v>11403</x:v>
      </x:c>
      <x:c r="C24" s="82"/>
      <x:c r="D24" s="82"/>
      <x:c r="E24" s="82"/>
      <x:c r="F24" s="82"/>
      <x:c r="G24" s="82"/>
    </x:row>
    <x:row r="25" ht="22" customHeight="1">
      <x:c r="A25" s="78" t="str">
        <x:v>Reserve for other commitments</x:v>
      </x:c>
      <x:c r="B25" s="83" t="n">
        <x:f>'01_Assumptions'!$B$21</x:f>
        <x:v>3000</x:v>
      </x:c>
      <x:c r="C25" s="82"/>
      <x:c r="D25" s="82"/>
      <x:c r="E25" s="82"/>
      <x:c r="F25" s="82"/>
      <x:c r="G25" s="82"/>
    </x:row>
    <x:row r="26" ht="22" customHeight="1">
      <x:c r="A26" s="78" t="str">
        <x:v>Minimum retained liquidity</x:v>
      </x:c>
      <x:c r="B26" s="83" t="n">
        <x:f>'01_Assumptions'!$B$20</x:f>
        <x:v>4000</x:v>
      </x:c>
      <x:c r="C26" s="82"/>
      <x:c r="D26" s="82"/>
      <x:c r="E26" s="82"/>
      <x:c r="F26" s="82"/>
      <x:c r="G26" s="82"/>
    </x:row>
    <x:row r="27" ht="22" customHeight="1">
      <x:c r="A27" s="78" t="str">
        <x:v>Cash capacity before acquisition</x:v>
      </x:c>
      <x:c r="B27" s="112" t="n">
        <x:f>B24-SUM(B25:B26)</x:f>
        <x:v>4403</x:v>
      </x:c>
      <x:c r="C27" s="82"/>
      <x:c r="D27" s="82"/>
      <x:c r="E27" s="82"/>
      <x:c r="F27" s="82"/>
      <x:c r="G27" s="82"/>
    </x:row>
    <x:row r="28" ht="22" customHeight="1">
      <x:c r="A28" s="110" t="str">
        <x:v>Liquidity headroom after uses</x:v>
      </x:c>
      <x:c r="B28" s="113" t="n">
        <x:f>B27-B12</x:f>
        <x:v>1572.7112022968754</x:v>
      </x:c>
      <x:c r="C28" s="122"/>
      <x:c r="D28" s="122"/>
      <x:c r="E28" s="122"/>
      <x:c r="F28" s="122"/>
      <x:c r="G28" s="122"/>
    </x:row>
    <x:row r="29" ht="22" customHeight="1">
      <x:c r="A29" s="78" t="str">
        <x:v>Cash feasibility</x:v>
      </x:c>
      <x:c r="B29" s="112" t="str">
        <x:f>IF(B28&gt;=0,"FEASIBLE","SHORTFALL")</x:f>
        <x:v>FEASIBLE</x:v>
      </x:c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0" customHeight="1">
      <x:c r="A32" s="7" t="str">
        <x:v>Financing percentages apply to purchase consideration. All fees are funded by acquirer cash, including the 100% stock scenario. Other commitments reserve is not an expenditure in the opening balance sheet.</x:v>
      </x:c>
      <x:c r="B32" s="81"/>
      <x:c r="C32" s="81"/>
      <x:c r="D32" s="81"/>
      <x:c r="E32" s="81"/>
      <x:c r="F32" s="81"/>
      <x:c r="G32" s="81"/>
    </x:row>
    <x:row r="33" ht="20" customHeight="1">
      <x:c r="A33" s="7"/>
      <x:c r="B33" s="81"/>
      <x:c r="C33" s="81"/>
      <x:c r="D33" s="81"/>
      <x:c r="E33" s="81"/>
      <x:c r="F33" s="81"/>
      <x:c r="G33" s="81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4:G4"/>
    <x:mergeCell ref="A11:G11"/>
    <x:mergeCell ref="A23:G23"/>
    <x:mergeCell ref="A32:G3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Purchase Accounting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2" customHeight="1">
      <x:c r="A5" s="78" t="str">
        <x:v>Equity purchase consideration</x:v>
      </x:c>
      <x:c r="B5" s="83" t="n">
        <x:f>'08_Transaction'!B11</x:f>
        <x:v>10730.952787499999</x:v>
      </x:c>
      <x:c r="C5" s="82"/>
      <x:c r="D5" s="82"/>
      <x:c r="E5" s="82"/>
      <x:c r="F5" s="82"/>
      <x:c r="G5" s="82"/>
    </x:row>
    <x:row r="6" ht="22" customHeight="1">
      <x:c r="A6" s="78" t="str">
        <x:v>NCI fair value (book-value proxy)</x:v>
      </x:c>
      <x:c r="B6" s="83" t="n">
        <x:f>'08_Transaction'!B13</x:f>
        <x:v>45.958</x:v>
      </x:c>
      <x:c r="C6" s="82"/>
      <x:c r="D6" s="82"/>
      <x:c r="E6" s="82"/>
      <x:c r="F6" s="82"/>
      <x:c r="G6" s="82"/>
    </x:row>
    <x:row r="7" ht="22" customHeight="1">
      <x:c r="A7" s="110" t="str">
        <x:v>Total accounting consideration</x:v>
      </x:c>
      <x:c r="B7" s="113" t="n">
        <x:f>SUM(B5:B6)</x:f>
        <x:v>10776.910787499999</x:v>
      </x:c>
      <x:c r="C7" s="122"/>
      <x:c r="D7" s="122"/>
      <x:c r="E7" s="122"/>
      <x:c r="F7" s="122"/>
      <x:c r="G7" s="122"/>
    </x:row>
    <x:row r="8" ht="22" customHeight="1">
      <x:c r="A8" s="78"/>
      <x:c r="B8" s="82"/>
      <x:c r="C8" s="82"/>
      <x:c r="D8" s="82"/>
      <x:c r="E8" s="82"/>
      <x:c r="F8" s="82"/>
      <x:c r="G8" s="82"/>
    </x:row>
    <x:row r="9" ht="22" customHeight="1">
      <x:c r="A9" s="78" t="str">
        <x:v>Target total book net assets</x:v>
      </x:c>
      <x:c r="B9" s="83" t="n">
        <x:f>'04_GTLB_Historical'!B37-'04_GTLB_Historical'!B38</x:f>
        <x:v>971.4870000000001</x:v>
      </x:c>
      <x:c r="C9" s="82"/>
      <x:c r="D9" s="82"/>
      <x:c r="E9" s="82"/>
      <x:c r="F9" s="82"/>
      <x:c r="G9" s="82"/>
    </x:row>
    <x:row r="10" ht="22" customHeight="1">
      <x:c r="A10" s="78" t="str">
        <x:v>Remove existing goodwill</x:v>
      </x:c>
      <x:c r="B10" s="83" t="n">
        <x:f>-'04_GTLB_Historical'!B41</x:f>
        <x:v>-17.446</x:v>
      </x:c>
      <x:c r="C10" s="82"/>
      <x:c r="D10" s="82"/>
      <x:c r="E10" s="82"/>
      <x:c r="F10" s="82"/>
      <x:c r="G10" s="82"/>
    </x:row>
    <x:row r="11" ht="22" customHeight="1">
      <x:c r="A11" s="78" t="str">
        <x:v>Incremental intangible write-up</x:v>
      </x:c>
      <x:c r="B11" s="83" t="n">
        <x:f>'08_Transaction'!B15*'01_Assumptions'!$B$22</x:f>
        <x:v>3348.1086756249993</x:v>
      </x:c>
      <x:c r="C11" s="82"/>
      <x:c r="D11" s="82"/>
      <x:c r="E11" s="82"/>
      <x:c r="F11" s="82"/>
      <x:c r="G11" s="82"/>
    </x:row>
    <x:row r="12" ht="22" customHeight="1">
      <x:c r="A12" s="78" t="str">
        <x:v>New deferred tax liability</x:v>
      </x:c>
      <x:c r="B12" s="83" t="n">
        <x:f>-B11*'01_Assumptions'!$B$16</x:f>
        <x:v>-786.8055387718748</x:v>
      </x:c>
      <x:c r="C12" s="82"/>
      <x:c r="D12" s="82"/>
      <x:c r="E12" s="82"/>
      <x:c r="F12" s="82"/>
      <x:c r="G12" s="82"/>
    </x:row>
    <x:row r="13" ht="22" customHeight="1">
      <x:c r="A13" s="110" t="str">
        <x:v>Identifiable net assets at fair value</x:v>
      </x:c>
      <x:c r="B13" s="113" t="n">
        <x:f>SUM(B9:B12)</x:f>
        <x:v>3515.344136853124</x:v>
      </x:c>
      <x:c r="C13" s="122"/>
      <x:c r="D13" s="122"/>
      <x:c r="E13" s="122"/>
      <x:c r="F13" s="122"/>
      <x:c r="G13" s="122"/>
    </x:row>
    <x:row r="14" ht="22" customHeight="1">
      <x:c r="A14" s="110" t="str">
        <x:v>New goodwill</x:v>
      </x:c>
      <x:c r="B14" s="113" t="n">
        <x:f>B7-B13</x:f>
        <x:v>7261.566650646875</x:v>
      </x:c>
      <x:c r="C14" s="122"/>
      <x:c r="D14" s="122"/>
      <x:c r="E14" s="122"/>
      <x:c r="F14" s="122"/>
      <x:c r="G14" s="122"/>
    </x:row>
    <x:row r="15" ht="22" customHeight="1">
      <x:c r="A15" s="78"/>
      <x:c r="B15" s="82"/>
      <x:c r="C15" s="82"/>
      <x:c r="D15" s="82"/>
      <x:c r="E15" s="82"/>
      <x:c r="F15" s="82"/>
      <x:c r="G15" s="82"/>
    </x:row>
    <x:row r="16" ht="22" customHeight="1">
      <x:c r="A16" s="78"/>
      <x:c r="B16" s="82"/>
      <x:c r="C16" s="82"/>
      <x:c r="D16" s="82"/>
      <x:c r="E16" s="82"/>
      <x:c r="F16" s="82"/>
      <x:c r="G16" s="82"/>
    </x:row>
    <x:row r="17" ht="26" customHeight="1">
      <x:c r="A17" s="111" t="str">
        <x:v>INCREMENTAL INTANGIBLE ASSETS</x:v>
      </x:c>
      <x:c r="B17" s="118"/>
      <x:c r="C17" s="118"/>
      <x:c r="D17" s="118"/>
      <x:c r="E17" s="118"/>
      <x:c r="F17" s="118"/>
      <x:c r="G17" s="118"/>
    </x:row>
    <x:row r="18" ht="22" customHeight="1">
      <x:c r="A18" s="78"/>
      <x:c r="B18" s="82" t="str">
        <x:v>Write-up</x:v>
      </x:c>
      <x:c r="C18" s="82" t="str">
        <x:v>Life (years)</x:v>
      </x:c>
      <x:c r="D18" s="82" t="str">
        <x:v>Annual amortization</x:v>
      </x:c>
      <x:c r="E18" s="82"/>
      <x:c r="F18" s="82"/>
      <x:c r="G18" s="82"/>
    </x:row>
    <x:row r="19" ht="22" customHeight="1">
      <x:c r="A19" s="78" t="str">
        <x:v>Customer relationships</x:v>
      </x:c>
      <x:c r="B19" s="83" t="n">
        <x:f>$B$11*'01_Assumptions'!$B$23</x:f>
        <x:v>2008.8652053749995</x:v>
      </x:c>
      <x:c r="C19" s="83" t="n">
        <x:f>'01_Assumptions'!$B$26</x:f>
        <x:v>10</x:v>
      </x:c>
      <x:c r="D19" s="112" t="n">
        <x:f>B19/C19</x:f>
        <x:v>200.88652053749996</x:v>
      </x:c>
      <x:c r="E19" s="82"/>
      <x:c r="F19" s="82"/>
      <x:c r="G19" s="82"/>
    </x:row>
    <x:row r="20" ht="22" customHeight="1">
      <x:c r="A20" s="78" t="str">
        <x:v>Developed technology</x:v>
      </x:c>
      <x:c r="B20" s="83" t="n">
        <x:f>$B$11*'01_Assumptions'!$B$24</x:f>
        <x:v>1171.8380364687496</x:v>
      </x:c>
      <x:c r="C20" s="83" t="n">
        <x:f>'01_Assumptions'!$B$27</x:f>
        <x:v>5</x:v>
      </x:c>
      <x:c r="D20" s="112" t="n">
        <x:f>B20/C20</x:f>
        <x:v>234.36760729374993</x:v>
      </x:c>
      <x:c r="E20" s="82"/>
      <x:c r="F20" s="82"/>
      <x:c r="G20" s="82"/>
    </x:row>
    <x:row r="21" ht="22" customHeight="1">
      <x:c r="A21" s="78" t="str">
        <x:v>Trade names</x:v>
      </x:c>
      <x:c r="B21" s="83" t="n">
        <x:f>$B$11*'01_Assumptions'!$B$25</x:f>
        <x:v>167.40543378124997</x:v>
      </x:c>
      <x:c r="C21" s="83" t="n">
        <x:f>'01_Assumptions'!$B$28</x:f>
        <x:v>5</x:v>
      </x:c>
      <x:c r="D21" s="112" t="n">
        <x:f>B21/C21</x:f>
        <x:v>33.481086756249994</x:v>
      </x:c>
      <x:c r="E21" s="82"/>
      <x:c r="F21" s="82"/>
      <x:c r="G21" s="82"/>
    </x:row>
    <x:row r="22" ht="22" customHeight="1">
      <x:c r="A22" s="110" t="str">
        <x:v>Total incremental amortization</x:v>
      </x:c>
      <x:c r="B22" s="113" t="n">
        <x:f>SUM(B19:B21)</x:f>
        <x:v>3348.1086756249993</x:v>
      </x:c>
      <x:c r="C22" s="170" t="str">
        <x:v>—</x:v>
      </x:c>
      <x:c r="D22" s="113" t="n">
        <x:f>SUM(D19:D21)</x:f>
        <x:v>468.73521458749985</x:v>
      </x:c>
      <x:c r="E22" s="122"/>
      <x:c r="F22" s="122"/>
      <x:c r="G22" s="122"/>
    </x:row>
    <x:row r="23" ht="22" customHeight="1">
      <x:c r="A23" s="78"/>
      <x:c r="B23" s="82"/>
      <x:c r="C23" s="82"/>
      <x:c r="D23" s="82"/>
      <x:c r="E23" s="82"/>
      <x:c r="F23" s="82"/>
      <x:c r="G23" s="82"/>
    </x:row>
    <x:row r="24" ht="22" customHeight="1">
      <x:c r="A24" s="110" t="str">
        <x:v>PPA reconciliation</x:v>
      </x:c>
      <x:c r="B24" s="113" t="n">
        <x:f>B7-B13-B14</x:f>
        <x:v>0</x:v>
      </x:c>
      <x:c r="C24" s="122"/>
      <x:c r="D24" s="122"/>
      <x:c r="E24" s="122"/>
      <x:c r="F24" s="122"/>
      <x:c r="G24" s="12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0" customHeight="1">
      <x:c r="A27" s="7" t="str">
        <x:v>Stock acquisition with no tax basis step-up. DTL release creates a deferred book tax benefit, not cash tax savings. Goodwill is a purchase-accounting residual, not an independent valuation.</x:v>
      </x:c>
      <x:c r="B27" s="81"/>
      <x:c r="C27" s="81"/>
      <x:c r="D27" s="81"/>
      <x:c r="E27" s="81"/>
      <x:c r="F27" s="81"/>
      <x:c r="G27" s="81"/>
    </x:row>
    <x:row r="28" ht="20" customHeight="1">
      <x:c r="A28" s="7"/>
      <x:c r="B28" s="81"/>
      <x:c r="C28" s="81"/>
      <x:c r="D28" s="81"/>
      <x:c r="E28" s="81"/>
      <x:c r="F28" s="81"/>
      <x:c r="G28" s="81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17:G17"/>
    <x:mergeCell ref="A27:G28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Synergies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Expense base</x:v>
      </x:c>
      <x:c r="C4" s="109" t="str">
        <x:v>Reduction</x:v>
      </x:c>
      <x:c r="D4" s="109" t="str">
        <x:v>Run-rate saving</x:v>
      </x:c>
      <x:c r="E4" s="109"/>
      <x:c r="F4" s="109"/>
      <x:c r="G4" s="109"/>
    </x:row>
    <x:row r="5" ht="22" customHeight="1">
      <x:c r="A5" s="78" t="str">
        <x:v>Corporate / public-company G&amp;A</x:v>
      </x:c>
      <x:c r="B5" s="83" t="n">
        <x:f>'01_Assumptions'!E97</x:f>
        <x:v>148.01500000000001</x:v>
      </x:c>
      <x:c r="C5" s="85" t="n">
        <x:f>'01_Assumptions'!$B$30</x:f>
        <x:v>0.3</x:v>
      </x:c>
      <x:c r="D5" s="112" t="n">
        <x:f>B5*C5</x:f>
        <x:v>44.404500000000006</x:v>
      </x:c>
      <x:c r="E5" s="82"/>
      <x:c r="F5" s="82"/>
      <x:c r="G5" s="82"/>
    </x:row>
    <x:row r="6" ht="22" customHeight="1">
      <x:c r="A6" s="78" t="str">
        <x:v>Selling overlap</x:v>
      </x:c>
      <x:c r="B6" s="83" t="n">
        <x:f>'01_Assumptions'!E98</x:f>
        <x:v>391.5780000000001</x:v>
      </x:c>
      <x:c r="C6" s="85" t="n">
        <x:f>'01_Assumptions'!$B$31</x:f>
        <x:v>0.12</x:v>
      </x:c>
      <x:c r="D6" s="112" t="n">
        <x:f>B6*C6</x:f>
        <x:v>46.98936000000001</x:v>
      </x:c>
      <x:c r="E6" s="82"/>
      <x:c r="F6" s="82"/>
      <x:c r="G6" s="82"/>
    </x:row>
    <x:row r="7" ht="22" customHeight="1">
      <x:c r="A7" s="78" t="str">
        <x:v>Infrastructure and vendor costs</x:v>
      </x:c>
      <x:c r="B7" s="83" t="n">
        <x:f>'01_Assumptions'!E99</x:f>
        <x:v>137.451</x:v>
      </x:c>
      <x:c r="C7" s="85" t="n">
        <x:f>'01_Assumptions'!$B$32</x:f>
        <x:v>0.06</x:v>
      </x:c>
      <x:c r="D7" s="112" t="n">
        <x:f>B7*C7</x:f>
        <x:v>8.24706</x:v>
      </x:c>
      <x:c r="E7" s="82"/>
      <x:c r="F7" s="82"/>
      <x:c r="G7" s="82"/>
    </x:row>
    <x:row r="8" ht="22" customHeight="1">
      <x:c r="A8" s="78" t="str">
        <x:v>Bottom-up savings before multiplier</x:v>
      </x:c>
      <x:c r="B8" s="82"/>
      <x:c r="C8" s="82"/>
      <x:c r="D8" s="112" t="n">
        <x:f>SUM(D5:D7)</x:f>
        <x:v>99.64092000000002</x:v>
      </x:c>
      <x:c r="E8" s="82"/>
      <x:c r="F8" s="82"/>
      <x:c r="G8" s="82"/>
    </x:row>
    <x:row r="9" ht="22" customHeight="1">
      <x:c r="A9" s="110" t="str">
        <x:v>Run-rate cost synergies</x:v>
      </x:c>
      <x:c r="B9" s="122"/>
      <x:c r="C9" s="122"/>
      <x:c r="D9" s="119" t="n">
        <x:f>D8*'01_Assumptions'!$B$29</x:f>
        <x:v>99.64092000000002</x:v>
      </x:c>
      <x:c r="E9" s="122"/>
      <x:c r="F9" s="122"/>
      <x:c r="G9" s="122"/>
    </x:row>
    <x:row r="10" ht="22" customHeight="1">
      <x:c r="A10" s="78" t="str">
        <x:v>Run-rate / target LTM revenue</x:v>
      </x:c>
      <x:c r="B10" s="82"/>
      <x:c r="C10" s="82"/>
      <x:c r="D10" s="85" t="n">
        <x:f>D9/'04_GTLB_Historical'!G5</x:f>
        <x:v>0.09443142175598747</x:v>
      </x:c>
      <x:c r="E10" s="82"/>
      <x:c r="F10" s="82"/>
      <x:c r="G10" s="82"/>
    </x:row>
    <x:row r="11" ht="22" customHeight="1">
      <x:c r="A11" s="78"/>
      <x:c r="B11" s="82"/>
      <x:c r="C11" s="82"/>
      <x:c r="D11" s="82"/>
      <x:c r="E11" s="82"/>
      <x:c r="F11" s="82"/>
      <x:c r="G11" s="82"/>
    </x:row>
    <x:row r="12" ht="26" customHeight="1">
      <x:c r="A12" s="111" t="str">
        <x:v>SYNERGY RAMP AND CASH COSTS</x:v>
      </x:c>
      <x:c r="B12" s="118"/>
      <x:c r="C12" s="118"/>
      <x:c r="D12" s="118"/>
      <x:c r="E12" s="118"/>
      <x:c r="F12" s="118"/>
      <x:c r="G12" s="118"/>
    </x:row>
    <x:row r="13" ht="22" customHeight="1">
      <x:c r="A13" s="78"/>
      <x:c r="B13" s="82" t="str">
        <x:v>FY2028E</x:v>
      </x:c>
      <x:c r="C13" s="82" t="str">
        <x:v>FY2029E</x:v>
      </x:c>
      <x:c r="D13" s="82" t="str">
        <x:v>FY2030E</x:v>
      </x:c>
      <x:c r="E13" s="82"/>
      <x:c r="F13" s="82"/>
      <x:c r="G13" s="82"/>
    </x:row>
    <x:row r="14" ht="22" customHeight="1">
      <x:c r="A14" s="78" t="str">
        <x:v>Cost savings realization</x:v>
      </x:c>
      <x:c r="B14" s="85" t="n">
        <x:f>'01_Assumptions'!$B$33</x:f>
        <x:v>0.25</x:v>
      </x:c>
      <x:c r="C14" s="85" t="n">
        <x:f>'01_Assumptions'!$B$34</x:f>
        <x:v>0.6</x:v>
      </x:c>
      <x:c r="D14" s="85" t="n">
        <x:f>'01_Assumptions'!$B$35</x:f>
        <x:v>1</x:v>
      </x:c>
      <x:c r="E14" s="82"/>
      <x:c r="F14" s="82"/>
      <x:c r="G14" s="82"/>
    </x:row>
    <x:row r="15" ht="22" customHeight="1">
      <x:c r="A15" s="78" t="str">
        <x:v>Realized cost savings</x:v>
      </x:c>
      <x:c r="B15" s="112" t="n">
        <x:f>$D$9*B14</x:f>
        <x:v>24.910230000000006</x:v>
      </x:c>
      <x:c r="C15" s="112" t="n">
        <x:f>$D$9*C14</x:f>
        <x:v>59.78455200000001</x:v>
      </x:c>
      <x:c r="D15" s="112" t="n">
        <x:f>$D$9*D14</x:f>
        <x:v>99.64092000000002</x:v>
      </x:c>
      <x:c r="E15" s="82"/>
      <x:c r="F15" s="82"/>
      <x:c r="G15" s="82"/>
    </x:row>
    <x:row r="16" ht="22" customHeight="1">
      <x:c r="A16" s="78" t="str">
        <x:v>Revenue synergy</x:v>
      </x:c>
      <x:c r="B16" s="83" t="n">
        <x:f>'01_Assumptions'!$B$38*B14</x:f>
        <x:v>0</x:v>
      </x:c>
      <x:c r="C16" s="83" t="n">
        <x:f>'01_Assumptions'!$B$38*C14</x:f>
        <x:v>0</x:v>
      </x:c>
      <x:c r="D16" s="83" t="n">
        <x:f>'01_Assumptions'!$B$38*D14</x:f>
        <x:v>0</x:v>
      </x:c>
      <x:c r="E16" s="82"/>
      <x:c r="F16" s="82"/>
      <x:c r="G16" s="82"/>
    </x:row>
    <x:row r="17" ht="22" customHeight="1">
      <x:c r="A17" s="78" t="str">
        <x:v>Revenue contribution to EBIT</x:v>
      </x:c>
      <x:c r="B17" s="83" t="n">
        <x:f>B16*'01_Assumptions'!$B$39</x:f>
        <x:v>0</x:v>
      </x:c>
      <x:c r="C17" s="83" t="n">
        <x:f>C16*'01_Assumptions'!$B$39</x:f>
        <x:v>0</x:v>
      </x:c>
      <x:c r="D17" s="83" t="n">
        <x:f>D16*'01_Assumptions'!$B$39</x:f>
        <x:v>0</x:v>
      </x:c>
      <x:c r="E17" s="82"/>
      <x:c r="F17" s="82"/>
      <x:c r="G17" s="82"/>
    </x:row>
    <x:row r="18" ht="22" customHeight="1">
      <x:c r="A18" s="78" t="str">
        <x:v>Integration expense / cash spend</x:v>
      </x:c>
      <x:c r="B18" s="83" t="n">
        <x:f>$D$9*'01_Assumptions'!$B$36*'01_Assumptions'!$B$37</x:f>
        <x:v>59.78455200000001</x:v>
      </x:c>
      <x:c r="C18" s="83" t="n">
        <x:f>$D$9*'01_Assumptions'!$B$36*(1-'01_Assumptions'!$B$37)</x:f>
        <x:v>39.85636800000001</x:v>
      </x:c>
      <x:c r="D18" s="112" t="n">
        <x:f>0</x:f>
        <x:v>0</x:v>
      </x:c>
      <x:c r="E18" s="82"/>
      <x:c r="F18" s="82"/>
      <x:c r="G18" s="82"/>
    </x:row>
    <x:row r="19" ht="22" customHeight="1">
      <x:c r="A19" s="110" t="str">
        <x:v>Net incremental EBIT after integration</x:v>
      </x:c>
      <x:c r="B19" s="113" t="n">
        <x:f>SUM(B15,B17)-B18</x:f>
        <x:v>-34.87432200000001</x:v>
      </x:c>
      <x:c r="C19" s="113" t="n">
        <x:f>SUM(C15,C17)-C18</x:f>
        <x:v>19.928184</x:v>
      </x:c>
      <x:c r="D19" s="113" t="n">
        <x:f>SUM(D15,D17)-D18</x:f>
        <x:v>99.64092000000002</x:v>
      </x:c>
      <x:c r="E19" s="122"/>
      <x:c r="F19" s="122"/>
      <x:c r="G19" s="122"/>
    </x:row>
    <x:row r="20" ht="22" customHeight="1">
      <x:c r="A20" s="78"/>
      <x:c r="B20" s="82"/>
      <x:c r="C20" s="82"/>
      <x:c r="D20" s="82"/>
      <x:c r="E20" s="82"/>
      <x:c r="F20" s="82"/>
      <x:c r="G20" s="82"/>
    </x:row>
    <x:row r="21" ht="22" customHeight="1">
      <x:c r="A21" s="78"/>
      <x:c r="B21" s="82"/>
      <x:c r="C21" s="82"/>
      <x:c r="D21" s="82"/>
      <x:c r="E21" s="82"/>
      <x:c r="F21" s="82"/>
      <x:c r="G21" s="82"/>
    </x:row>
    <x:row r="22" ht="20" customHeight="1">
      <x:c r="A22" s="7" t="str">
        <x:v>Expense bases exclude functional SBC only and retain no R&amp;D cuts. Revenue synergies are zero in the base case. Confirm other non-cash items and one-time costs during diligence.</x:v>
      </x:c>
      <x:c r="B22" s="81"/>
      <x:c r="C22" s="81"/>
      <x:c r="D22" s="81"/>
      <x:c r="E22" s="81"/>
      <x:c r="F22" s="81"/>
      <x:c r="G22" s="81"/>
    </x:row>
    <x:row r="23" ht="20" customHeight="1">
      <x:c r="A23" s="7"/>
      <x:c r="B23" s="81"/>
      <x:c r="C23" s="81"/>
      <x:c r="D23" s="81"/>
      <x:c r="E23" s="81"/>
      <x:c r="F23" s="81"/>
      <x:c r="G23" s="81"/>
    </x:row>
    <x:row r="24" ht="22" customHeight="1">
      <x:c r="A24" s="78"/>
      <x:c r="B24" s="82"/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12:G12"/>
    <x:mergeCell ref="A22:G2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Pro Forma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FY2028E</x:v>
      </x:c>
      <x:c r="C4" s="109" t="str">
        <x:v>FY2029E</x:v>
      </x:c>
      <x:c r="D4" s="109" t="str">
        <x:v>FY2030E</x:v>
      </x:c>
      <x:c r="E4" s="109"/>
      <x:c r="F4" s="109"/>
      <x:c r="G4" s="109"/>
    </x:row>
    <x:row r="5" ht="22" customHeight="1">
      <x:c r="A5" s="78" t="str">
        <x:v>Salesforce standalone revenue</x:v>
      </x:c>
      <x:c r="B5" s="83" t="n">
        <x:f>'03_CRM_Forecast'!C5</x:f>
        <x:v>50412.50000000001</x:v>
      </x:c>
      <x:c r="C5" s="83" t="n">
        <x:f>'03_CRM_Forecast'!D5</x:f>
        <x:v>54445.500000000015</x:v>
      </x:c>
      <x:c r="D5" s="83" t="n">
        <x:f>'03_CRM_Forecast'!E5</x:f>
        <x:v>58256.68500000002</x:v>
      </x:c>
      <x:c r="E5" s="82"/>
      <x:c r="F5" s="82"/>
      <x:c r="G5" s="82"/>
    </x:row>
    <x:row r="6" ht="22" customHeight="1">
      <x:c r="A6" s="78" t="str">
        <x:v>GitLab standalone revenue</x:v>
      </x:c>
      <x:c r="B6" s="83" t="n">
        <x:f>'05_GTLB_Forecast'!C5</x:f>
        <x:v>1334.58</x:v>
      </x:c>
      <x:c r="C6" s="83" t="n">
        <x:f>'05_GTLB_Forecast'!D5</x:f>
        <x:v>1548.1127999999999</x:v>
      </x:c>
      <x:c r="D6" s="83" t="n">
        <x:f>'05_GTLB_Forecast'!E5</x:f>
        <x:v>1764.848592</x:v>
      </x:c>
      <x:c r="E6" s="82"/>
      <x:c r="F6" s="82"/>
      <x:c r="G6" s="82"/>
    </x:row>
    <x:row r="7" ht="22" customHeight="1">
      <x:c r="A7" s="78" t="str">
        <x:v>Revenue synergies</x:v>
      </x:c>
      <x:c r="B7" s="83" t="n">
        <x:f>'11_Synergies'!B16</x:f>
        <x:v>0</x:v>
      </x:c>
      <x:c r="C7" s="83" t="n">
        <x:f>'11_Synergies'!C16</x:f>
        <x:v>0</x:v>
      </x:c>
      <x:c r="D7" s="83" t="n">
        <x:f>'11_Synergies'!D16</x:f>
        <x:v>0</x:v>
      </x:c>
      <x:c r="E7" s="82"/>
      <x:c r="F7" s="82"/>
      <x:c r="G7" s="82"/>
    </x:row>
    <x:row r="8" ht="22" customHeight="1">
      <x:c r="A8" s="110" t="str">
        <x:v>Pro forma revenue</x:v>
      </x:c>
      <x:c r="B8" s="113" t="n">
        <x:f>SUM(B5:B7)</x:f>
        <x:v>51747.08000000001</x:v>
      </x:c>
      <x:c r="C8" s="113" t="n">
        <x:f>SUM(C5:C7)</x:f>
        <x:v>55993.61280000002</x:v>
      </x:c>
      <x:c r="D8" s="113" t="n">
        <x:f>SUM(D5:D7)</x:f>
        <x:v>60021.53359200002</x:v>
      </x:c>
      <x:c r="E8" s="122"/>
      <x:c r="F8" s="122"/>
      <x:c r="G8" s="122"/>
    </x:row>
    <x:row r="9" ht="22" customHeight="1">
      <x:c r="A9" s="78"/>
      <x:c r="B9" s="82"/>
      <x:c r="C9" s="82"/>
      <x:c r="D9" s="82"/>
      <x:c r="E9" s="82"/>
      <x:c r="F9" s="82"/>
      <x:c r="G9" s="82"/>
    </x:row>
    <x:row r="10" ht="22" customHeight="1">
      <x:c r="A10" s="78" t="str">
        <x:v>Salesforce standalone GAAP EBIT</x:v>
      </x:c>
      <x:c r="B10" s="83" t="n">
        <x:f>'03_CRM_Forecast'!C12</x:f>
        <x:v>11090.750000000002</x:v>
      </x:c>
      <x:c r="C10" s="83" t="n">
        <x:f>'03_CRM_Forecast'!D12</x:f>
        <x:v>12794.692500000005</x:v>
      </x:c>
      <x:c r="D10" s="83" t="n">
        <x:f>'03_CRM_Forecast'!E12</x:f>
        <x:v>14272.887825000003</x:v>
      </x:c>
      <x:c r="E10" s="82"/>
      <x:c r="F10" s="82"/>
      <x:c r="G10" s="82"/>
    </x:row>
    <x:row r="11" ht="22" customHeight="1">
      <x:c r="A11" s="78" t="str">
        <x:v>GitLab standalone GAAP EBIT</x:v>
      </x:c>
      <x:c r="B11" s="83" t="n">
        <x:f>'05_GTLB_Forecast'!C12</x:f>
        <x:v>-26.691599999999994</x:v>
      </x:c>
      <x:c r="C11" s="83" t="n">
        <x:f>'05_GTLB_Forecast'!D12</x:f>
        <x:v>61.924511999999936</x:v>
      </x:c>
      <x:c r="D11" s="83" t="n">
        <x:f>'05_GTLB_Forecast'!E12</x:f>
        <x:v>158.83637328000003</x:v>
      </x:c>
      <x:c r="E11" s="82"/>
      <x:c r="F11" s="82"/>
      <x:c r="G11" s="82"/>
    </x:row>
    <x:row r="12" ht="22" customHeight="1">
      <x:c r="A12" s="78" t="str">
        <x:v>Cost synergies</x:v>
      </x:c>
      <x:c r="B12" s="83" t="n">
        <x:f>'11_Synergies'!B15</x:f>
        <x:v>24.910230000000006</x:v>
      </x:c>
      <x:c r="C12" s="83" t="n">
        <x:f>'11_Synergies'!C15</x:f>
        <x:v>59.78455200000001</x:v>
      </x:c>
      <x:c r="D12" s="83" t="n">
        <x:f>'11_Synergies'!D15</x:f>
        <x:v>99.64092000000002</x:v>
      </x:c>
      <x:c r="E12" s="82"/>
      <x:c r="F12" s="82"/>
      <x:c r="G12" s="82"/>
    </x:row>
    <x:row r="13" ht="22" customHeight="1">
      <x:c r="A13" s="78" t="str">
        <x:v>Revenue synergy contribution</x:v>
      </x:c>
      <x:c r="B13" s="83" t="n">
        <x:f>'11_Synergies'!B17</x:f>
        <x:v>0</x:v>
      </x:c>
      <x:c r="C13" s="83" t="n">
        <x:f>'11_Synergies'!C17</x:f>
        <x:v>0</x:v>
      </x:c>
      <x:c r="D13" s="83" t="n">
        <x:f>'11_Synergies'!D17</x:f>
        <x:v>0</x:v>
      </x:c>
      <x:c r="E13" s="82"/>
      <x:c r="F13" s="82"/>
      <x:c r="G13" s="82"/>
    </x:row>
    <x:row r="14" ht="22" customHeight="1">
      <x:c r="A14" s="78" t="str">
        <x:v>New intangible amortization</x:v>
      </x:c>
      <x:c r="B14" s="83" t="n">
        <x:f>-'10_Purchase_Accounting'!D22</x:f>
        <x:v>-468.73521458749985</x:v>
      </x:c>
      <x:c r="C14" s="83" t="n">
        <x:f>-'10_Purchase_Accounting'!D22</x:f>
        <x:v>-468.73521458749985</x:v>
      </x:c>
      <x:c r="D14" s="83" t="n">
        <x:f>-'10_Purchase_Accounting'!D22</x:f>
        <x:v>-468.73521458749985</x:v>
      </x:c>
      <x:c r="E14" s="82"/>
      <x:c r="F14" s="82"/>
      <x:c r="G14" s="82"/>
    </x:row>
    <x:row r="15" ht="22" customHeight="1">
      <x:c r="A15" s="110" t="str">
        <x:v>Pro forma recurring EBIT</x:v>
      </x:c>
      <x:c r="B15" s="113" t="n">
        <x:f>SUM(B10:B14)</x:f>
        <x:v>10620.233415412502</x:v>
      </x:c>
      <x:c r="C15" s="113" t="n">
        <x:f>SUM(C10:C14)</x:f>
        <x:v>12447.666349412504</x:v>
      </x:c>
      <x:c r="D15" s="113" t="n">
        <x:f>SUM(D10:D14)</x:f>
        <x:v>14062.629903692505</x:v>
      </x:c>
      <x:c r="E15" s="122"/>
      <x:c r="F15" s="122"/>
      <x:c r="G15" s="122"/>
    </x:row>
    <x:row r="16" ht="22" customHeight="1">
      <x:c r="A16" s="78"/>
      <x:c r="B16" s="82"/>
      <x:c r="C16" s="82"/>
      <x:c r="D16" s="82"/>
      <x:c r="E16" s="82"/>
      <x:c r="F16" s="82"/>
      <x:c r="G16" s="82"/>
    </x:row>
    <x:row r="17" ht="22" customHeight="1">
      <x:c r="A17" s="78" t="str">
        <x:v>Salesforce net interest / other</x:v>
      </x:c>
      <x:c r="B17" s="83" t="n">
        <x:f>'03_CRM_Forecast'!C14</x:f>
        <x:v>-1464</x:v>
      </x:c>
      <x:c r="C17" s="83" t="n">
        <x:f>'03_CRM_Forecast'!D14</x:f>
        <x:v>-1464</x:v>
      </x:c>
      <x:c r="D17" s="83" t="n">
        <x:f>'03_CRM_Forecast'!E14</x:f>
        <x:v>-1464</x:v>
      </x:c>
      <x:c r="E17" s="82"/>
      <x:c r="F17" s="82"/>
      <x:c r="G17" s="82"/>
    </x:row>
    <x:row r="18" ht="22" customHeight="1">
      <x:c r="A18" s="78" t="str">
        <x:v>GitLab net interest / other</x:v>
      </x:c>
      <x:c r="B18" s="83" t="n">
        <x:f>'05_GTLB_Forecast'!C14</x:f>
        <x:v>48.43544</x:v>
      </x:c>
      <x:c r="C18" s="83" t="n">
        <x:f>'05_GTLB_Forecast'!D14</x:f>
        <x:v>48.43544</x:v>
      </x:c>
      <x:c r="D18" s="83" t="n">
        <x:f>'05_GTLB_Forecast'!E14</x:f>
        <x:v>48.43544</x:v>
      </x:c>
      <x:c r="E18" s="82"/>
      <x:c r="F18" s="82"/>
      <x:c r="G18" s="82"/>
    </x:row>
    <x:row r="19" ht="22" customHeight="1">
      <x:c r="A19" s="78" t="str">
        <x:v>Incremental debt interest</x:v>
      </x:c>
      <x:c r="B19" s="83" t="n">
        <x:f>-'09_Sources_Uses'!B19</x:f>
        <x:v>-174.377982796875</x:v>
      </x:c>
      <x:c r="C19" s="83" t="n">
        <x:f>-'09_Sources_Uses'!B19</x:f>
        <x:v>-174.377982796875</x:v>
      </x:c>
      <x:c r="D19" s="83" t="n">
        <x:f>-'09_Sources_Uses'!B19</x:f>
        <x:v>-174.377982796875</x:v>
      </x:c>
      <x:c r="E19" s="82"/>
      <x:c r="F19" s="82"/>
      <x:c r="G19" s="82"/>
    </x:row>
    <x:row r="20" ht="22" customHeight="1">
      <x:c r="A20" s="78" t="str">
        <x:v>Foregone cash interest</x:v>
      </x:c>
      <x:c r="B20" s="83" t="n">
        <x:f>-'09_Sources_Uses'!B20</x:f>
        <x:v>-113.21155190812499</x:v>
      </x:c>
      <x:c r="C20" s="83" t="n">
        <x:f>-'09_Sources_Uses'!B20</x:f>
        <x:v>-113.21155190812499</x:v>
      </x:c>
      <x:c r="D20" s="83" t="n">
        <x:f>-'09_Sources_Uses'!B20</x:f>
        <x:v>-113.21155190812499</x:v>
      </x:c>
      <x:c r="E20" s="82"/>
      <x:c r="F20" s="82"/>
      <x:c r="G20" s="82"/>
    </x:row>
    <x:row r="21" ht="22" customHeight="1">
      <x:c r="A21" s="78" t="str">
        <x:v>Debt-fee amortization</x:v>
      </x:c>
      <x:c r="B21" s="83" t="n">
        <x:f>-'09_Sources_Uses'!B21</x:f>
        <x:v>-8.048214590624998</x:v>
      </x:c>
      <x:c r="C21" s="83" t="n">
        <x:f>-'09_Sources_Uses'!B21</x:f>
        <x:v>-8.048214590624998</x:v>
      </x:c>
      <x:c r="D21" s="83" t="n">
        <x:f>-'09_Sources_Uses'!B21</x:f>
        <x:v>-8.048214590624998</x:v>
      </x:c>
      <x:c r="E21" s="82"/>
      <x:c r="F21" s="82"/>
      <x:c r="G21" s="82"/>
    </x:row>
    <x:row r="22" ht="22" customHeight="1">
      <x:c r="A22" s="110" t="str">
        <x:v>Pro forma recurring pretax income</x:v>
      </x:c>
      <x:c r="B22" s="113" t="n">
        <x:f>B15+SUM(B17:B21)</x:f>
        <x:v>8909.031106116878</x:v>
      </x:c>
      <x:c r="C22" s="113" t="n">
        <x:f>C15+SUM(C17:C21)</x:f>
        <x:v>10736.46404011688</x:v>
      </x:c>
      <x:c r="D22" s="113" t="n">
        <x:f>D15+SUM(D17:D21)</x:f>
        <x:v>12351.42759439688</x:v>
      </x:c>
      <x:c r="E22" s="122"/>
      <x:c r="F22" s="122"/>
      <x:c r="G22" s="122"/>
    </x:row>
    <x:row r="23" ht="22" customHeight="1">
      <x:c r="A23" s="78"/>
      <x:c r="B23" s="82"/>
      <x:c r="C23" s="82"/>
      <x:c r="D23" s="82"/>
      <x:c r="E23" s="82"/>
      <x:c r="F23" s="82"/>
      <x:c r="G23" s="82"/>
    </x:row>
    <x:row r="24" ht="22" customHeight="1">
      <x:c r="A24" s="78" t="str">
        <x:v>Salesforce standalone tax</x:v>
      </x:c>
      <x:c r="B24" s="83" t="n">
        <x:f>'03_CRM_Forecast'!C16</x:f>
        <x:v>2262.28625</x:v>
      </x:c>
      <x:c r="C24" s="83" t="n">
        <x:f>'03_CRM_Forecast'!D16</x:f>
        <x:v>2662.712737500001</x:v>
      </x:c>
      <x:c r="D24" s="83" t="n">
        <x:f>'03_CRM_Forecast'!E16</x:f>
        <x:v>3010.0886388750005</x:v>
      </x:c>
      <x:c r="E24" s="82"/>
      <x:c r="F24" s="82"/>
      <x:c r="G24" s="82"/>
    </x:row>
    <x:row r="25" ht="22" customHeight="1">
      <x:c r="A25" s="78" t="str">
        <x:v>GitLab standalone tax</x:v>
      </x:c>
      <x:c r="B25" s="83" t="n">
        <x:f>'05_GTLB_Forecast'!C16</x:f>
        <x:v>5.109802400000001</x:v>
      </x:c>
      <x:c r="C25" s="83" t="n">
        <x:f>'05_GTLB_Forecast'!D16</x:f>
        <x:v>25.934588719999983</x:v>
      </x:c>
      <x:c r="D25" s="83" t="n">
        <x:f>'05_GTLB_Forecast'!E16</x:f>
        <x:v>48.70887612080001</x:v>
      </x:c>
      <x:c r="E25" s="82"/>
      <x:c r="F25" s="82"/>
      <x:c r="G25" s="82"/>
    </x:row>
    <x:row r="26" ht="22" customHeight="1">
      <x:c r="A26" s="78" t="str">
        <x:v>Tax on operating deal adjustments</x:v>
      </x:c>
      <x:c r="B26" s="83" t="n">
        <x:f>SUM(B12:B14)*'01_Assumptions'!$B$16</x:f>
        <x:v>-104.29887137806246</x:v>
      </x:c>
      <x:c r="C26" s="83" t="n">
        <x:f>SUM(C12:C14)*'01_Assumptions'!$B$16</x:f>
        <x:v>-96.10340570806245</x:v>
      </x:c>
      <x:c r="D26" s="83" t="n">
        <x:f>SUM(D12:D14)*'01_Assumptions'!$B$16</x:f>
        <x:v>-86.73715922806245</x:v>
      </x:c>
      <x:c r="E26" s="82"/>
      <x:c r="F26" s="82"/>
      <x:c r="G26" s="82"/>
    </x:row>
    <x:row r="27" ht="22" customHeight="1">
      <x:c r="A27" s="78" t="str">
        <x:v>Tax shield on financing adjustments</x:v>
      </x:c>
      <x:c r="B27" s="83" t="n">
        <x:f>SUM(B19:B21)*'01_Assumptions'!$B$16*'01_Assumptions'!$B$63</x:f>
        <x:v>-69.47487108447187</x:v>
      </x:c>
      <x:c r="C27" s="83" t="n">
        <x:f>SUM(C19:C21)*'01_Assumptions'!$B$16*'01_Assumptions'!$B$63</x:f>
        <x:v>-69.47487108447187</x:v>
      </x:c>
      <x:c r="D27" s="83" t="n">
        <x:f>SUM(D19:D21)*'01_Assumptions'!$B$16*'01_Assumptions'!$B$63</x:f>
        <x:v>-69.47487108447187</x:v>
      </x:c>
      <x:c r="E27" s="82"/>
      <x:c r="F27" s="82"/>
      <x:c r="G27" s="82"/>
    </x:row>
    <x:row r="28" ht="22" customHeight="1">
      <x:c r="A28" s="78" t="str">
        <x:v>Pro forma recurring tax expense</x:v>
      </x:c>
      <x:c r="B28" s="112" t="n">
        <x:f>SUM(B24:B27)</x:f>
        <x:v>2093.6223099374656</x:v>
      </x:c>
      <x:c r="C28" s="112" t="n">
        <x:f>SUM(C24:C27)</x:f>
        <x:v>2523.069049427467</x:v>
      </x:c>
      <x:c r="D28" s="112" t="n">
        <x:f>SUM(D24:D27)</x:f>
        <x:v>2902.5854846832663</x:v>
      </x:c>
      <x:c r="E28" s="82"/>
      <x:c r="F28" s="82"/>
      <x:c r="G28" s="82"/>
    </x:row>
    <x:row r="29" ht="22" customHeight="1">
      <x:c r="A29" s="110" t="str">
        <x:v>Pro forma recurring net income</x:v>
      </x:c>
      <x:c r="B29" s="113" t="n">
        <x:f>B22-B28</x:f>
        <x:v>6815.408796179412</x:v>
      </x:c>
      <x:c r="C29" s="113" t="n">
        <x:f>C22-C28</x:f>
        <x:v>8213.394990689412</x:v>
      </x:c>
      <x:c r="D29" s="113" t="n">
        <x:f>D22-D28</x:f>
        <x:v>9448.842109713614</x:v>
      </x:c>
      <x:c r="E29" s="122"/>
      <x:c r="F29" s="122"/>
      <x:c r="G29" s="122"/>
    </x:row>
    <x:row r="30" ht="22" customHeight="1">
      <x:c r="A30" s="78" t="str">
        <x:v>Salesforce diluted shares</x:v>
      </x:c>
      <x:c r="B30" s="83" t="n">
        <x:f>'03_CRM_Forecast'!C20</x:f>
        <x:v>825</x:v>
      </x:c>
      <x:c r="C30" s="83" t="n">
        <x:f>'03_CRM_Forecast'!D20</x:f>
        <x:v>825</x:v>
      </x:c>
      <x:c r="D30" s="83" t="n">
        <x:f>'03_CRM_Forecast'!E20</x:f>
        <x:v>825</x:v>
      </x:c>
      <x:c r="E30" s="82"/>
      <x:c r="F30" s="82"/>
      <x:c r="G30" s="82"/>
    </x:row>
    <x:row r="31" ht="22" customHeight="1">
      <x:c r="A31" s="78" t="str">
        <x:v>New shares issued</x:v>
      </x:c>
      <x:c r="B31" s="83" t="n">
        <x:f>'09_Sources_Uses'!B18</x:f>
        <x:v>20.697744835667162</x:v>
      </x:c>
      <x:c r="C31" s="83" t="n">
        <x:f>'09_Sources_Uses'!B18</x:f>
        <x:v>20.697744835667162</x:v>
      </x:c>
      <x:c r="D31" s="83" t="n">
        <x:f>'09_Sources_Uses'!B18</x:f>
        <x:v>20.697744835667162</x:v>
      </x:c>
      <x:c r="E31" s="82"/>
      <x:c r="F31" s="82"/>
      <x:c r="G31" s="82"/>
    </x:row>
    <x:row r="32" ht="22" customHeight="1">
      <x:c r="A32" s="110" t="str">
        <x:v>Pro forma diluted shares</x:v>
      </x:c>
      <x:c r="B32" s="113" t="n">
        <x:f>SUM(B30:B31)</x:f>
        <x:v>845.6977448356672</x:v>
      </x:c>
      <x:c r="C32" s="113" t="n">
        <x:f>SUM(C30:C31)</x:f>
        <x:v>845.6977448356672</x:v>
      </x:c>
      <x:c r="D32" s="113" t="n">
        <x:f>SUM(D30:D31)</x:f>
        <x:v>845.6977448356672</x:v>
      </x:c>
      <x:c r="E32" s="122"/>
      <x:c r="F32" s="122"/>
      <x:c r="G32" s="122"/>
    </x:row>
    <x:row r="33" ht="22" customHeight="1">
      <x:c r="A33" s="110" t="str">
        <x:v>Recurring EPS incl. PPA and SBC</x:v>
      </x:c>
      <x:c r="B33" s="120" t="n">
        <x:f>B29/B32</x:f>
        <x:v>8.05891802100496</x:v>
      </x:c>
      <x:c r="C33" s="120" t="n">
        <x:f>C29/C32</x:f>
        <x:v>9.71197456874549</x:v>
      </x:c>
      <x:c r="D33" s="120" t="n">
        <x:f>D29/D32</x:f>
        <x:v>11.172835883049064</x:v>
      </x:c>
      <x:c r="E33" s="122"/>
      <x:c r="F33" s="122"/>
      <x:c r="G33" s="12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 t="str">
        <x:v>One-time transaction fees</x:v>
      </x:c>
      <x:c r="B35" s="83" t="n">
        <x:f>'09_Sources_Uses'!B7</x:f>
        <x:v>107.30952787499999</x:v>
      </x:c>
      <x:c r="C35" s="112" t="n">
        <x:f>0</x:f>
        <x:v>0</x:v>
      </x:c>
      <x:c r="D35" s="112" t="n">
        <x:f>0</x:f>
        <x:v>0</x:v>
      </x:c>
      <x:c r="E35" s="82"/>
      <x:c r="F35" s="82"/>
      <x:c r="G35" s="82"/>
    </x:row>
    <x:row r="36" ht="22" customHeight="1">
      <x:c r="A36" s="78" t="str">
        <x:v>Integration expense</x:v>
      </x:c>
      <x:c r="B36" s="83" t="n">
        <x:f>'11_Synergies'!B18</x:f>
        <x:v>59.78455200000001</x:v>
      </x:c>
      <x:c r="C36" s="83" t="n">
        <x:f>'11_Synergies'!C18</x:f>
        <x:v>39.85636800000001</x:v>
      </x:c>
      <x:c r="D36" s="83" t="n">
        <x:f>'11_Synergies'!D18</x:f>
        <x:v>0</x:v>
      </x:c>
      <x:c r="E36" s="82"/>
      <x:c r="F36" s="82"/>
      <x:c r="G36" s="82"/>
    </x:row>
    <x:row r="37" ht="22" customHeight="1">
      <x:c r="A37" s="78" t="str">
        <x:v>Tax benefit on integration expense</x:v>
      </x:c>
      <x:c r="B37" s="83" t="n">
        <x:f>B36*'01_Assumptions'!$B$16</x:f>
        <x:v>14.049369720000001</x:v>
      </x:c>
      <x:c r="C37" s="83" t="n">
        <x:f>C36*'01_Assumptions'!$B$16</x:f>
        <x:v>9.366246480000003</x:v>
      </x:c>
      <x:c r="D37" s="83" t="n">
        <x:f>D36*'01_Assumptions'!$B$16</x:f>
        <x:v>0</x:v>
      </x:c>
      <x:c r="E37" s="82"/>
      <x:c r="F37" s="82"/>
      <x:c r="G37" s="82"/>
    </x:row>
    <x:row r="38" ht="22" customHeight="1">
      <x:c r="A38" s="110" t="str">
        <x:v>Pro forma all-in net income</x:v>
      </x:c>
      <x:c r="B38" s="113" t="n">
        <x:f>B29-SUM(B35:B36)+B37</x:f>
        <x:v>6662.364086024412</x:v>
      </x:c>
      <x:c r="C38" s="113" t="n">
        <x:f>C29-SUM(C35:C36)+C37</x:f>
        <x:v>8182.904869169412</x:v>
      </x:c>
      <x:c r="D38" s="113" t="n">
        <x:f>D29-SUM(D35:D36)+D37</x:f>
        <x:v>9448.842109713614</x:v>
      </x:c>
      <x:c r="E38" s="122"/>
      <x:c r="F38" s="122"/>
      <x:c r="G38" s="122"/>
    </x:row>
    <x:row r="39" ht="22" customHeight="1">
      <x:c r="A39" s="110" t="str">
        <x:v>All-in diluted EPS</x:v>
      </x:c>
      <x:c r="B39" s="120" t="n">
        <x:f>B38/B32</x:f>
        <x:v>7.8779494526369085</x:v>
      </x:c>
      <x:c r="C39" s="120" t="n">
        <x:f>C38/C32</x:f>
        <x:v>9.67592135504569</x:v>
      </x:c>
      <x:c r="D39" s="120" t="n">
        <x:f>D38/D32</x:f>
        <x:v>11.172835883049064</x:v>
      </x:c>
      <x:c r="E39" s="122"/>
      <x:c r="F39" s="122"/>
      <x:c r="G39" s="12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 t="str">
        <x:v>Recurring net income excl. new PPA</x:v>
      </x:c>
      <x:c r="B41" s="83" t="n">
        <x:f>B29-B14*(1-'01_Assumptions'!$B$16)</x:f>
        <x:v>7173.99123533885</x:v>
      </x:c>
      <x:c r="C41" s="83" t="n">
        <x:f>C29-C14*(1-'01_Assumptions'!$B$16)</x:f>
        <x:v>8571.97742984885</x:v>
      </x:c>
      <x:c r="D41" s="83" t="n">
        <x:f>D29-D14*(1-'01_Assumptions'!$B$16)</x:f>
        <x:v>9807.424548873052</x:v>
      </x:c>
      <x:c r="E41" s="82"/>
      <x:c r="F41" s="82"/>
      <x:c r="G41" s="82"/>
    </x:row>
    <x:row r="42" ht="22" customHeight="1">
      <x:c r="A42" s="110" t="str">
        <x:v>EPS excl. new PPA (SBC retained)</x:v>
      </x:c>
      <x:c r="B42" s="120" t="n">
        <x:f>B41/B32</x:f>
        <x:v>8.482925819712186</x:v>
      </x:c>
      <x:c r="C42" s="120" t="n">
        <x:f>C41/C32</x:f>
        <x:v>10.135982367452717</x:v>
      </x:c>
      <x:c r="D42" s="120" t="n">
        <x:f>D41/D32</x:f>
        <x:v>11.596843681756292</x:v>
      </x:c>
      <x:c r="E42" s="122"/>
      <x:c r="F42" s="122"/>
      <x:c r="G42" s="12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0" customHeight="1">
      <x:c r="A45" s="7" t="str">
        <x:v>Full-year consolidation assumes 1 February 2027 closing. All-in is modeled GAAP-basis, not reported GAAP. Tax realization is simplified; standalone target losses receive no tax benefit. New amortization benefit is deferred tax only.</x:v>
      </x:c>
      <x:c r="B45" s="81"/>
      <x:c r="C45" s="81"/>
      <x:c r="D45" s="81"/>
      <x:c r="E45" s="81"/>
      <x:c r="F45" s="81"/>
      <x:c r="G45" s="81"/>
    </x:row>
    <x:row r="46" ht="20" customHeight="1">
      <x:c r="A46" s="7"/>
      <x:c r="B46" s="81"/>
      <x:c r="C46" s="81"/>
      <x:c r="D46" s="81"/>
      <x:c r="E46" s="81"/>
      <x:c r="F46" s="81"/>
      <x:c r="G46" s="81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45:G4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Accretion Dilution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 t="str">
        <x:v>FY2028E</x:v>
      </x:c>
      <x:c r="C4" s="109" t="str">
        <x:v>FY2029E</x:v>
      </x:c>
      <x:c r="D4" s="109" t="str">
        <x:v>FY2030E</x:v>
      </x:c>
      <x:c r="E4" s="109"/>
      <x:c r="F4" s="109"/>
      <x:c r="G4" s="109"/>
    </x:row>
    <x:row r="5" ht="22" customHeight="1">
      <x:c r="A5" s="78" t="str">
        <x:v>Salesforce standalone EPS</x:v>
      </x:c>
      <x:c r="B5" s="84" t="n">
        <x:f>'03_CRM_Forecast'!C21</x:f>
        <x:v>8.92662272727273</x:v>
      </x:c>
      <x:c r="C5" s="84" t="n">
        <x:f>'03_CRM_Forecast'!D21</x:f>
        <x:v>10.50664213636364</x:v>
      </x:c>
      <x:c r="D5" s="84" t="n">
        <x:f>'03_CRM_Forecast'!E21</x:f>
        <x:v>11.877332346818186</x:v>
      </x:c>
      <x:c r="E5" s="82"/>
      <x:c r="F5" s="82"/>
      <x:c r="G5" s="82"/>
    </x:row>
    <x:row r="6" ht="22" customHeight="1">
      <x:c r="A6" s="78" t="str">
        <x:v>Pro forma recurring EPS</x:v>
      </x:c>
      <x:c r="B6" s="84" t="n">
        <x:f>'12_Pro_Forma'!B33</x:f>
        <x:v>8.05891802100496</x:v>
      </x:c>
      <x:c r="C6" s="84" t="n">
        <x:f>'12_Pro_Forma'!C33</x:f>
        <x:v>9.71197456874549</x:v>
      </x:c>
      <x:c r="D6" s="84" t="n">
        <x:f>'12_Pro_Forma'!D33</x:f>
        <x:v>11.172835883049064</x:v>
      </x:c>
      <x:c r="E6" s="82"/>
      <x:c r="F6" s="82"/>
      <x:c r="G6" s="82"/>
    </x:row>
    <x:row r="7" ht="22" customHeight="1">
      <x:c r="A7" s="110" t="str">
        <x:v>Recurring accretion / dilution</x:v>
      </x:c>
      <x:c r="B7" s="127" t="n">
        <x:f>B6/B5-1</x:f>
        <x:v>-0.09720414234789454</x:v>
      </x:c>
      <x:c r="C7" s="127" t="n">
        <x:f>C6/C5-1</x:f>
        <x:v>-0.07563478010427271</x:v>
      </x:c>
      <x:c r="D7" s="127" t="n">
        <x:f>D6/D5-1</x:f>
        <x:v>-0.059314368176103804</x:v>
      </x:c>
      <x:c r="E7" s="122"/>
      <x:c r="F7" s="122"/>
      <x:c r="G7" s="122"/>
    </x:row>
    <x:row r="8" ht="22" customHeight="1">
      <x:c r="A8" s="78"/>
      <x:c r="B8" s="82"/>
      <x:c r="C8" s="82"/>
      <x:c r="D8" s="82"/>
      <x:c r="E8" s="82"/>
      <x:c r="F8" s="82"/>
      <x:c r="G8" s="82"/>
    </x:row>
    <x:row r="9" ht="22" customHeight="1">
      <x:c r="A9" s="78" t="str">
        <x:v>Pro forma all-in EPS</x:v>
      </x:c>
      <x:c r="B9" s="84" t="n">
        <x:f>'12_Pro_Forma'!B39</x:f>
        <x:v>7.8779494526369085</x:v>
      </x:c>
      <x:c r="C9" s="84" t="n">
        <x:f>'12_Pro_Forma'!C39</x:f>
        <x:v>9.67592135504569</x:v>
      </x:c>
      <x:c r="D9" s="84" t="n">
        <x:f>'12_Pro_Forma'!D39</x:f>
        <x:v>11.172835883049064</x:v>
      </x:c>
      <x:c r="E9" s="82"/>
      <x:c r="F9" s="82"/>
      <x:c r="G9" s="82"/>
    </x:row>
    <x:row r="10" ht="22" customHeight="1">
      <x:c r="A10" s="110" t="str">
        <x:v>All-in accretion / dilution</x:v>
      </x:c>
      <x:c r="B10" s="127" t="n">
        <x:f>B9/B5-1</x:f>
        <x:v>-0.11747704665863168</x:v>
      </x:c>
      <x:c r="C10" s="127" t="n">
        <x:f>C9/C5-1</x:f>
        <x:v>-0.07906624881062752</x:v>
      </x:c>
      <x:c r="D10" s="127" t="n">
        <x:f>D9/D5-1</x:f>
        <x:v>-0.059314368176103804</x:v>
      </x:c>
      <x:c r="E10" s="122"/>
      <x:c r="F10" s="122"/>
      <x:c r="G10" s="122"/>
    </x:row>
    <x:row r="11" ht="22" customHeight="1">
      <x:c r="A11" s="78"/>
      <x:c r="B11" s="82"/>
      <x:c r="C11" s="82"/>
      <x:c r="D11" s="82"/>
      <x:c r="E11" s="82"/>
      <x:c r="F11" s="82"/>
      <x:c r="G11" s="82"/>
    </x:row>
    <x:row r="12" ht="22" customHeight="1">
      <x:c r="A12" s="78" t="str">
        <x:v>EPS excluding new amortization</x:v>
      </x:c>
      <x:c r="B12" s="84" t="n">
        <x:f>'12_Pro_Forma'!B42</x:f>
        <x:v>8.482925819712186</x:v>
      </x:c>
      <x:c r="C12" s="84" t="n">
        <x:f>'12_Pro_Forma'!C42</x:f>
        <x:v>10.135982367452717</x:v>
      </x:c>
      <x:c r="D12" s="84" t="n">
        <x:f>'12_Pro_Forma'!D42</x:f>
        <x:v>11.596843681756292</x:v>
      </x:c>
      <x:c r="E12" s="82"/>
      <x:c r="F12" s="82"/>
      <x:c r="G12" s="82"/>
    </x:row>
    <x:row r="13" ht="22" customHeight="1">
      <x:c r="A13" s="110" t="str">
        <x:v>Accretion excluding new amortization</x:v>
      </x:c>
      <x:c r="B13" s="127" t="n">
        <x:f>B12/B5-1</x:f>
        <x:v>-0.049704901967566606</x:v>
      </x:c>
      <x:c r="C13" s="127" t="n">
        <x:f>C12/C5-1</x:f>
        <x:v>-0.03527861367125695</x:v>
      </x:c>
      <x:c r="D13" s="127" t="n">
        <x:f>D12/D5-1</x:f>
        <x:v>-0.023615459841622943</x:v>
      </x:c>
      <x:c r="E13" s="122"/>
      <x:c r="F13" s="122"/>
      <x:c r="G13" s="122"/>
    </x:row>
    <x:row r="14" ht="22" customHeight="1">
      <x:c r="A14" s="78"/>
      <x:c r="B14" s="82"/>
      <x:c r="C14" s="82"/>
      <x:c r="D14" s="82"/>
      <x:c r="E14" s="82"/>
      <x:c r="F14" s="82"/>
      <x:c r="G14" s="82"/>
    </x:row>
    <x:row r="15" ht="22" customHeight="1">
      <x:c r="A15" s="78" t="str">
        <x:v>EPS-neutral realized cost savings</x:v>
      </x:c>
      <x:c r="B15" s="83" t="n">
        <x:f>(B5*'12_Pro_Forma'!B32-'12_Pro_Forma'!B29)/(1-'01_Assumptions'!$B$16)+'11_Synergies'!B15</x:f>
        <x:v>984.1467179398018</x:v>
      </x:c>
      <x:c r="C15" s="83" t="n">
        <x:f>(C5*'12_Pro_Forma'!C32-'12_Pro_Forma'!C29)/(1-'01_Assumptions'!$B$16)+'11_Synergies'!C15</x:f>
        <x:v>938.2794145211946</x:v>
      </x:c>
      <x:c r="D15" s="83" t="n">
        <x:f>(D5*'12_Pro_Forma'!D32-'12_Pro_Forma'!D29)/(1-'01_Assumptions'!$B$16)+'11_Synergies'!D15</x:f>
        <x:v>878.4527770643765</x:v>
      </x:c>
      <x:c r="E15" s="82"/>
      <x:c r="F15" s="82"/>
      <x:c r="G15" s="82"/>
    </x:row>
    <x:row r="16" ht="22" customHeight="1">
      <x:c r="A16" s="78" t="str">
        <x:v>EPS-neutral run-rate cost savings</x:v>
      </x:c>
      <x:c r="B16" s="83" t="n">
        <x:f>MAX(0,B15/'11_Synergies'!B14)</x:f>
        <x:v>3936.586871759207</x:v>
      </x:c>
      <x:c r="C16" s="83" t="n">
        <x:f>MAX(0,C15/'11_Synergies'!C14)</x:f>
        <x:v>1563.799024201991</x:v>
      </x:c>
      <x:c r="D16" s="83" t="n">
        <x:f>MAX(0,D15/'11_Synergies'!D14)</x:f>
        <x:v>878.4527770643765</x:v>
      </x:c>
      <x:c r="E16" s="82"/>
      <x:c r="F16" s="82"/>
      <x:c r="G16" s="82"/>
    </x:row>
    <x:row r="17" ht="22" customHeight="1">
      <x:c r="A17" s="78" t="str">
        <x:v>Base run-rate cost synergies</x:v>
      </x:c>
      <x:c r="B17" s="83" t="n">
        <x:f>'11_Synergies'!D9</x:f>
        <x:v>99.64092000000002</x:v>
      </x:c>
      <x:c r="C17" s="83" t="n">
        <x:f>'11_Synergies'!D9</x:f>
        <x:v>99.64092000000002</x:v>
      </x:c>
      <x:c r="D17" s="83" t="n">
        <x:f>'11_Synergies'!D9</x:f>
        <x:v>99.64092000000002</x:v>
      </x:c>
      <x:c r="E17" s="82"/>
      <x:c r="F17" s="82"/>
      <x:c r="G17" s="82"/>
    </x:row>
    <x:row r="18" ht="22" customHeight="1">
      <x:c r="A18" s="78" t="str">
        <x:v>Run-rate shortfall / (surplus)</x:v>
      </x:c>
      <x:c r="B18" s="112" t="n">
        <x:f>B16-B17</x:f>
        <x:v>3836.945951759207</x:v>
      </x:c>
      <x:c r="C18" s="112" t="n">
        <x:f>C16-C17</x:f>
        <x:v>1464.158104201991</x:v>
      </x:c>
      <x:c r="D18" s="112" t="n">
        <x:f>D16-D17</x:f>
        <x:v>778.8118570643765</x:v>
      </x:c>
      <x:c r="E18" s="82"/>
      <x:c r="F18" s="82"/>
      <x:c r="G18" s="82"/>
    </x:row>
    <x:row r="19" ht="22" customHeight="1">
      <x:c r="A19" s="78" t="str">
        <x:v>EPS-neutral offer price / share</x:v>
      </x:c>
      <x:c r="B19" s="84" t="n">
        <x:f>('05_GTLB_Forecast'!C19+('11_Synergies'!B15+'11_Synergies'!B17-('01_Assumptions'!$B$22*('01_Assumptions'!$B$23/'01_Assumptions'!$B$26+'01_Assumptions'!$B$24/'01_Assumptions'!$B$27+'01_Assumptions'!$B$25/'01_Assumptions'!$B$28))*SUM('08_Transaction'!B12:B14))*(1-'01_Assumptions'!$B$16)-('08_Transaction'!B12*('01_Assumptions'!$B$14+'01_Assumptions'!$B$18/'01_Assumptions'!$B$19+'01_Assumptions'!$B$18*'01_Assumptions'!$B$15))*(1-'01_Assumptions'!$B$16*'01_Assumptions'!$B$63))/('08_Transaction'!B10*(('01_Assumptions'!$B$22*('01_Assumptions'!$B$23/'01_Assumptions'!$B$26+'01_Assumptions'!$B$24/'01_Assumptions'!$B$27+'01_Assumptions'!$B$25/'01_Assumptions'!$B$28))*(1-'01_Assumptions'!$B$16)+('01_Assumptions'!$B$12*('01_Assumptions'!$B$14+'01_Assumptions'!$B$18/'01_Assumptions'!$B$19)+('01_Assumptions'!$B$11+'01_Assumptions'!$B$17+'01_Assumptions'!$B$12*'01_Assumptions'!$B$18)*'01_Assumptions'!$B$15)*(1-'01_Assumptions'!$B$16*'01_Assumptions'!$B$63)+B5*'01_Assumptions'!$B$13/'01_Assumptions'!$B$6))</x:f>
        <x:v>6.078643078398704</x:v>
      </x:c>
      <x:c r="C19" s="84" t="n">
        <x:f>('05_GTLB_Forecast'!D19+('11_Synergies'!C15+'11_Synergies'!C17-('01_Assumptions'!$B$22*('01_Assumptions'!$B$23/'01_Assumptions'!$B$26+'01_Assumptions'!$B$24/'01_Assumptions'!$B$27+'01_Assumptions'!$B$25/'01_Assumptions'!$B$28))*SUM('08_Transaction'!B12:B14))*(1-'01_Assumptions'!$B$16)-('08_Transaction'!B12*('01_Assumptions'!$B$14+'01_Assumptions'!$B$18/'01_Assumptions'!$B$19+'01_Assumptions'!$B$18*'01_Assumptions'!$B$15))*(1-'01_Assumptions'!$B$16*'01_Assumptions'!$B$63))/('08_Transaction'!B10*(('01_Assumptions'!$B$22*('01_Assumptions'!$B$23/'01_Assumptions'!$B$26+'01_Assumptions'!$B$24/'01_Assumptions'!$B$27+'01_Assumptions'!$B$25/'01_Assumptions'!$B$28))*(1-'01_Assumptions'!$B$16)+('01_Assumptions'!$B$12*('01_Assumptions'!$B$14+'01_Assumptions'!$B$18/'01_Assumptions'!$B$19)+('01_Assumptions'!$B$11+'01_Assumptions'!$B$17+'01_Assumptions'!$B$12*'01_Assumptions'!$B$18)*'01_Assumptions'!$B$15)*(1-'01_Assumptions'!$B$16*'01_Assumptions'!$B$63)+C5*'01_Assumptions'!$B$13/'01_Assumptions'!$B$6))</x:f>
        <x:v>12.800100610411617</x:v>
      </x:c>
      <x:c r="D19" s="84" t="n">
        <x:f>('05_GTLB_Forecast'!E19+('11_Synergies'!D15+'11_Synergies'!D17-('01_Assumptions'!$B$22*('01_Assumptions'!$B$23/'01_Assumptions'!$B$26+'01_Assumptions'!$B$24/'01_Assumptions'!$B$27+'01_Assumptions'!$B$25/'01_Assumptions'!$B$28))*SUM('08_Transaction'!B12:B14))*(1-'01_Assumptions'!$B$16)-('08_Transaction'!B12*('01_Assumptions'!$B$14+'01_Assumptions'!$B$18/'01_Assumptions'!$B$19+'01_Assumptions'!$B$18*'01_Assumptions'!$B$15))*(1-'01_Assumptions'!$B$16*'01_Assumptions'!$B$63))/('08_Transaction'!B10*(('01_Assumptions'!$B$22*('01_Assumptions'!$B$23/'01_Assumptions'!$B$26+'01_Assumptions'!$B$24/'01_Assumptions'!$B$27+'01_Assumptions'!$B$25/'01_Assumptions'!$B$28))*(1-'01_Assumptions'!$B$16)+('01_Assumptions'!$B$12*('01_Assumptions'!$B$14+'01_Assumptions'!$B$18/'01_Assumptions'!$B$19)+('01_Assumptions'!$B$11+'01_Assumptions'!$B$17+'01_Assumptions'!$B$12*'01_Assumptions'!$B$18)*'01_Assumptions'!$B$15)*(1-'01_Assumptions'!$B$16*'01_Assumptions'!$B$63)+D5*'01_Assumptions'!$B$13/'01_Assumptions'!$B$6))</x:f>
        <x:v>19.839139647953523</x:v>
      </x:c>
      <x:c r="E19" s="82"/>
      <x:c r="F19" s="82"/>
      <x:c r="G19" s="82"/>
    </x:row>
    <x:row r="20" ht="22" customHeight="1">
      <x:c r="A20" s="78" t="str">
        <x:v>EPS-neutral premium / (discount)</x:v>
      </x:c>
      <x:c r="B20" s="85" t="n">
        <x:f>B19/'01_Assumptions'!$B$5-1</x:f>
        <x:v>-0.8780123805258137</x:v>
      </x:c>
      <x:c r="C20" s="85" t="n">
        <x:f>C19/'01_Assumptions'!$B$5-1</x:f>
        <x:v>-0.7431246114707682</x:v>
      </x:c>
      <x:c r="D20" s="85" t="n">
        <x:f>D19/'01_Assumptions'!$B$5-1</x:f>
        <x:v>-0.6018635430874268</x:v>
      </x:c>
      <x:c r="E20" s="82"/>
      <x:c r="F20" s="82"/>
      <x:c r="G20" s="82"/>
    </x:row>
    <x:row r="21" ht="20" customHeight="1">
      <x:c r="A21" s="7" t="str">
        <x:v>EPS-neutral savings solve recurring EPS including incremental purchase amortization, SBC and financing costs. These are required savings, not an assessment that savings can be achieved.</x:v>
      </x:c>
      <x:c r="B21" s="81"/>
      <x:c r="C21" s="81"/>
      <x:c r="D21" s="81"/>
      <x:c r="E21" s="81"/>
      <x:c r="F21" s="81"/>
      <x:c r="G21" s="81"/>
    </x:row>
    <x:row r="22" ht="20" customHeight="1">
      <x:c r="A22" s="7"/>
      <x:c r="B22" s="81"/>
      <x:c r="C22" s="81"/>
      <x:c r="D22" s="81"/>
      <x:c r="E22" s="81"/>
      <x:c r="F22" s="81"/>
      <x:c r="G22" s="81"/>
    </x:row>
    <x:row r="23" ht="22" customHeight="1">
      <x:c r="A23" s="78"/>
      <x:c r="B23" s="82"/>
      <x:c r="C23" s="82"/>
      <x:c r="D23" s="82"/>
      <x:c r="E23" s="82"/>
      <x:c r="F23" s="82"/>
      <x:c r="G23" s="82"/>
    </x:row>
    <x:row r="24" ht="22" customHeight="1">
      <x:c r="A24" s="78"/>
      <x:c r="B24" s="82"/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21:G2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" customHeight="1">
      <x:c r="A1" s="5" t="str">
        <x:v>Sensitivities</x:v>
      </x:c>
      <x:c r="B1" s="5"/>
      <x:c r="C1" s="5"/>
      <x:c r="D1" s="5"/>
      <x:c r="E1" s="5"/>
      <x:c r="F1" s="5"/>
      <x:c r="G1" s="5"/>
    </x:row>
    <x:row r="2" ht="20" customHeight="1">
      <x:c r="A2" s="7" t="str">
        <x:v>Year 3 recurring accretion incl. PPA and SBC | each cell recalculates purchase price, financing, cash yield, shares and PPA.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2" customHeight="1">
      <x:c r="A5" s="78" t="str">
        <x:v>Premium / run-rate savings ($m)</x:v>
      </x:c>
      <x:c r="B5" s="95" t="n">
        <x:v>50</x:v>
      </x:c>
      <x:c r="C5" s="95" t="n">
        <x:v>100</x:v>
      </x:c>
      <x:c r="D5" s="95" t="n">
        <x:v>150</x:v>
      </x:c>
      <x:c r="E5" s="95" t="n">
        <x:v>200</x:v>
      </x:c>
      <x:c r="F5" s="95" t="n">
        <x:v>300</x:v>
      </x:c>
      <x:c r="G5" s="82"/>
    </x:row>
    <x:row r="6" ht="22" customHeight="1">
      <x:c r="A6" s="128" t="n">
        <x:v>0.15</x:v>
      </x:c>
      <x:c r="B6" s="115" t="n">
        <x:f>N34</x:f>
        <x:v>-0.05624224735732242</x:v>
      </x:c>
      <x:c r="C6" s="115" t="n">
        <x:f>N35</x:f>
        <x:v>-0.052426773245817015</x:v>
      </x:c>
      <x:c r="D6" s="115" t="n">
        <x:f>N36</x:f>
        <x:v>-0.048611299134311836</x:v>
      </x:c>
      <x:c r="E6" s="115" t="n">
        <x:f>N37</x:f>
        <x:v>-0.044795825022806435</x:v>
      </x:c>
      <x:c r="F6" s="115" t="n">
        <x:f>N38</x:f>
        <x:v>-0.03716487679979574</x:v>
      </x:c>
      <x:c r="G6" s="82"/>
    </x:row>
    <x:row r="7" ht="22" customHeight="1">
      <x:c r="A7" s="128" t="n">
        <x:v>0.2</x:v>
      </x:c>
      <x:c r="B7" s="115" t="n">
        <x:f>N39</x:f>
        <x:v>-0.059671993428047965</x:v>
      </x:c>
      <x:c r="C7" s="115" t="n">
        <x:f>N40</x:f>
        <x:v>-0.055860258198264345</x:v>
      </x:c>
      <x:c r="D7" s="115" t="n">
        <x:f>N41</x:f>
        <x:v>-0.05204852296848084</x:v>
      </x:c>
      <x:c r="E7" s="115" t="n">
        <x:f>N42</x:f>
        <x:v>-0.04823678773869722</x:v>
      </x:c>
      <x:c r="F7" s="115" t="n">
        <x:f>N43</x:f>
        <x:v>-0.04061331727913009</x:v>
      </x:c>
      <x:c r="G7" s="82"/>
    </x:row>
    <x:row r="8" ht="22" customHeight="1">
      <x:c r="A8" s="128" t="n">
        <x:v>0.25</x:v>
      </x:c>
      <x:c r="B8" s="115" t="n">
        <x:f>N44</x:f>
        <x:v>-0.06309502428550007</x:v>
      </x:c>
      <x:c r="C8" s="115" t="n">
        <x:f>N45</x:f>
        <x:v>-0.05928702061695801</x:v>
      </x:c>
      <x:c r="D8" s="115" t="n">
        <x:f>N46</x:f>
        <x:v>-0.05547901694841606</x:v>
      </x:c>
      <x:c r="E8" s="115" t="n">
        <x:f>N47</x:f>
        <x:v>-0.05167101327987389</x:v>
      </x:c>
      <x:c r="F8" s="115" t="n">
        <x:f>N48</x:f>
        <x:v>-0.04405500594278977</x:v>
      </x:c>
      <x:c r="G8" s="82"/>
    </x:row>
    <x:row r="9" ht="22" customHeight="1">
      <x:c r="A9" s="128" t="n">
        <x:v>0.3</x:v>
      </x:c>
      <x:c r="B9" s="115" t="n">
        <x:f>N49</x:f>
        <x:v>-0.06651135963229704</x:v>
      </x:c>
      <x:c r="C9" s="115" t="n">
        <x:f>N50</x:f>
        <x:v>-0.0627070802259947</x:v>
      </x:c>
      <x:c r="D9" s="115" t="n">
        <x:f>N51</x:f>
        <x:v>-0.05890280081969246</x:v>
      </x:c>
      <x:c r="E9" s="115" t="n">
        <x:f>N52</x:f>
        <x:v>-0.05509852141339033</x:v>
      </x:c>
      <x:c r="F9" s="115" t="n">
        <x:f>N53</x:f>
        <x:v>-0.04748996260078597</x:v>
      </x:c>
      <x:c r="G9" s="82"/>
    </x:row>
    <x:row r="10" ht="22" customHeight="1">
      <x:c r="A10" s="128" t="n">
        <x:v>0.35</x:v>
      </x:c>
      <x:c r="B10" s="115" t="n">
        <x:f>N54</x:f>
        <x:v>-0.06992101909405612</x:v>
      </x:c>
      <x:c r="C10" s="115" t="n">
        <x:f>N55</x:f>
        <x:v>-0.06612045667238675</x:v>
      </x:c>
      <x:c r="D10" s="115" t="n">
        <x:f>N56</x:f>
        <x:v>-0.062319894250717156</x:v>
      </x:c>
      <x:c r="E10" s="115" t="n">
        <x:f>N57</x:f>
        <x:v>-0.05851933182904756</x:v>
      </x:c>
      <x:c r="F10" s="115" t="n">
        <x:f>N58</x:f>
        <x:v>-0.05091820698570859</x:v>
      </x:c>
      <x:c r="G10" s="82"/>
    </x:row>
    <x:row r="11" ht="22" customHeight="1">
      <x:c r="A11" s="78"/>
      <x:c r="B11" s="82"/>
      <x:c r="C11" s="82"/>
      <x:c r="D11" s="82"/>
      <x:c r="E11" s="82"/>
      <x:c r="F11" s="82"/>
      <x:c r="G11" s="82"/>
    </x:row>
    <x:row r="12" ht="22" customHeight="1">
      <x:c r="A12" s="78"/>
      <x:c r="B12" s="82"/>
      <x:c r="C12" s="82"/>
      <x:c r="D12" s="82"/>
      <x:c r="E12" s="82"/>
      <x:c r="F12" s="82"/>
      <x:c r="G12" s="82"/>
    </x:row>
    <x:row r="13" ht="26" customHeight="1">
      <x:c r="A13" s="111" t="str">
        <x:v>FINANCING SENSITIVITY | BASE PREMIUM AND SAVINGS</x:v>
      </x:c>
      <x:c r="B13" s="118"/>
      <x:c r="C13" s="118"/>
      <x:c r="D13" s="118"/>
      <x:c r="E13" s="118"/>
      <x:c r="F13" s="118"/>
      <x:c r="G13" s="118"/>
    </x:row>
    <x:row r="14" ht="34" customHeight="1">
      <x:c r="A14" s="157" t="str">
        <x:v>Structure</x:v>
      </x:c>
      <x:c r="B14" s="144" t="str">
        <x:v>Cash %</x:v>
      </x:c>
      <x:c r="C14" s="144" t="str">
        <x:v>Debt %</x:v>
      </x:c>
      <x:c r="D14" s="144" t="str">
        <x:v>Stock %</x:v>
      </x:c>
      <x:c r="E14" s="144" t="str">
        <x:v>Year 3 A/D</x:v>
      </x:c>
      <x:c r="F14" s="144" t="str">
        <x:v>Cash headroom</x:v>
      </x:c>
      <x:c r="G14" s="82"/>
    </x:row>
    <x:row r="15" ht="22" customHeight="1">
      <x:c r="A15" s="78" t="str">
        <x:v>100% cash</x:v>
      </x:c>
      <x:c r="B15" s="94" t="n">
        <x:v>1</x:v>
      </x:c>
      <x:c r="C15" s="94" t="n">
        <x:v>0</x:v>
      </x:c>
      <x:c r="D15" s="94" t="n">
        <x:v>0</x:v>
      </x:c>
      <x:c r="E15" s="115" t="n">
        <x:f>N59</x:f>
        <x:v>-0.04647967739716696</x:v>
      </x:c>
      <x:c r="F15" s="112" t="n">
        <x:f>O59</x:f>
        <x:v>-6435.262315374999</x:v>
      </x:c>
      <x:c r="G15" s="82"/>
    </x:row>
    <x:row r="16" ht="22" customHeight="1">
      <x:c r="A16" s="78" t="str">
        <x:v>75 cash / 25 debt</x:v>
      </x:c>
      <x:c r="B16" s="94" t="n">
        <x:v>0.75</x:v>
      </x:c>
      <x:c r="C16" s="94" t="n">
        <x:v>0.25</x:v>
      </x:c>
      <x:c r="D16" s="94" t="n">
        <x:v>0</x:v>
      </x:c>
      <x:c r="E16" s="115" t="n">
        <x:f>N60</x:f>
        <x:v>-0.0524697612732139</x:v>
      </x:c>
      <x:c r="F16" s="112" t="n">
        <x:f>O60</x:f>
        <x:v>-3792.7651914531234</x:v>
      </x:c>
      <x:c r="G16" s="82"/>
    </x:row>
    <x:row r="17" ht="22" customHeight="1">
      <x:c r="A17" s="78" t="str">
        <x:v>50 cash / 50 debt</x:v>
      </x:c>
      <x:c r="B17" s="94" t="n">
        <x:v>0.5</x:v>
      </x:c>
      <x:c r="C17" s="94" t="n">
        <x:v>0.5</x:v>
      </x:c>
      <x:c r="D17" s="94" t="n">
        <x:v>0</x:v>
      </x:c>
      <x:c r="E17" s="115" t="n">
        <x:f>N61</x:f>
        <x:v>-0.0584598451492605</x:v>
      </x:c>
      <x:c r="F17" s="112" t="n">
        <x:f>O61</x:f>
        <x:v>-1150.2680675312486</x:v>
      </x:c>
      <x:c r="G17" s="82"/>
    </x:row>
    <x:row r="18" ht="22" customHeight="1">
      <x:c r="A18" s="78" t="str">
        <x:v>50 cash / 25 debt / 25 stock</x:v>
      </x:c>
      <x:c r="B18" s="94" t="n">
        <x:v>0.5</x:v>
      </x:c>
      <x:c r="C18" s="94" t="n">
        <x:v>0.25</x:v>
      </x:c>
      <x:c r="D18" s="94" t="n">
        <x:v>0.25</x:v>
      </x:c>
      <x:c r="E18" s="115" t="n">
        <x:f>N62</x:f>
        <x:v>-0.05593446255742507</x:v>
      </x:c>
      <x:c r="F18" s="112" t="n">
        <x:f>O62</x:f>
        <x:v>-1110.0269945781238</x:v>
      </x:c>
      <x:c r="G18" s="82"/>
    </x:row>
    <x:row r="19" ht="22" customHeight="1">
      <x:c r="A19" s="78" t="str">
        <x:v>25 cash / 25 debt / 50 stock</x:v>
      </x:c>
      <x:c r="B19" s="94" t="n">
        <x:v>0.25</x:v>
      </x:c>
      <x:c r="C19" s="94" t="n">
        <x:v>0.25</x:v>
      </x:c>
      <x:c r="D19" s="94" t="n">
        <x:v>0.5</x:v>
      </x:c>
      <x:c r="E19" s="115" t="n">
        <x:f>N63</x:f>
        <x:v>-0.059314368176104026</x:v>
      </x:c>
      <x:c r="F19" s="112" t="n">
        <x:f>O63</x:f>
        <x:v>1572.7112022968754</x:v>
      </x:c>
      <x:c r="G19" s="82"/>
    </x:row>
    <x:row r="20" ht="22" customHeight="1">
      <x:c r="A20" s="78" t="str">
        <x:v>100% stock</x:v>
      </x:c>
      <x:c r="B20" s="94" t="n">
        <x:v>0</x:v>
      </x:c>
      <x:c r="C20" s="94" t="n">
        <x:v>0</x:v>
      </x:c>
      <x:c r="D20" s="94" t="n">
        <x:v>1</x:v>
      </x:c>
      <x:c r="E20" s="115" t="n">
        <x:f>N64</x:f>
        <x:v>-0.06012806296739748</x:v>
      </x:c>
      <x:c r="F20" s="112" t="n">
        <x:f>O64</x:f>
        <x:v>4295.690472125</x:v>
      </x:c>
      <x:c r="G20" s="82"/>
    </x:row>
    <x:row r="21" ht="22" customHeight="1">
      <x:c r="A21" s="78"/>
      <x:c r="B21" s="82"/>
      <x:c r="C21" s="82"/>
      <x:c r="D21" s="82"/>
      <x:c r="E21" s="82"/>
      <x:c r="F21" s="82"/>
      <x:c r="G21" s="82"/>
    </x:row>
    <x:row r="22" ht="22" customHeight="1">
      <x:c r="A22" s="78"/>
      <x:c r="B22" s="82"/>
      <x:c r="C22" s="82"/>
      <x:c r="D22" s="82"/>
      <x:c r="E22" s="82"/>
      <x:c r="F22" s="82"/>
      <x:c r="G22" s="82"/>
    </x:row>
    <x:row r="23" ht="20" customHeight="1">
      <x:c r="A23" s="7" t="str">
        <x:v>Negative cash headroom flags an infeasible funding plan under the selected liquidity reserve. EPS accretion alone does not override liquidity or valuation discipline.</x:v>
      </x:c>
      <x:c r="B23" s="81"/>
      <x:c r="C23" s="81"/>
      <x:c r="D23" s="81"/>
      <x:c r="E23" s="81"/>
      <x:c r="F23" s="81"/>
      <x:c r="G23" s="81"/>
    </x:row>
    <x:row r="24" ht="20" customHeight="1">
      <x:c r="A24" s="7"/>
      <x:c r="B24" s="81"/>
      <x:c r="C24" s="81"/>
      <x:c r="D24" s="81"/>
      <x:c r="E24" s="81"/>
      <x:c r="F24" s="81"/>
      <x:c r="G24" s="81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6" customHeight="1">
      <x:c r="A32" s="111" t="str">
        <x:v>SCENARIO CALCULATION HELPERS (FULLY VISIBLE)</x:v>
      </x:c>
      <x:c r="B32" s="118"/>
      <x:c r="C32" s="118"/>
      <x:c r="D32" s="118"/>
      <x:c r="E32" s="118"/>
      <x:c r="F32" s="118"/>
      <x:c r="G32" s="118"/>
      <x:c r="H32" s="20"/>
      <x:c r="I32" s="20"/>
      <x:c r="J32" s="20"/>
      <x:c r="K32" s="20"/>
      <x:c r="L32" s="20"/>
      <x:c r="M32" s="20"/>
      <x:c r="N32" s="20"/>
      <x:c r="O32" s="20"/>
    </x:row>
    <x:row r="33" ht="40" customHeight="1">
      <x:c r="A33" s="152" t="str">
        <x:v>Premium</x:v>
      </x:c>
      <x:c r="B33" s="155" t="str">
        <x:v>Run rate</x:v>
      </x:c>
      <x:c r="C33" s="155" t="str">
        <x:v>Cash %</x:v>
      </x:c>
      <x:c r="D33" s="155" t="str">
        <x:v>Debt %</x:v>
      </x:c>
      <x:c r="E33" s="155" t="str">
        <x:v>Stock %</x:v>
      </x:c>
      <x:c r="F33" s="155" t="str">
        <x:v>Equity price</x:v>
      </x:c>
      <x:c r="G33" s="155" t="str">
        <x:v>Deal EV</x:v>
      </x:c>
      <x:c r="H33" s="156" t="str">
        <x:v>Debt raised</x:v>
      </x:c>
      <x:c r="I33" s="156" t="str">
        <x:v>Cash used</x:v>
      </x:c>
      <x:c r="J33" s="156" t="str">
        <x:v>New shares</x:v>
      </x:c>
      <x:c r="K33" s="156" t="str">
        <x:v>Amortization</x:v>
      </x:c>
      <x:c r="L33" s="156" t="str">
        <x:v>Operating NI</x:v>
      </x:c>
      <x:c r="M33" s="156" t="str">
        <x:v>Financing NI</x:v>
      </x:c>
      <x:c r="N33" s="156" t="str">
        <x:v>Year 3 A/D</x:v>
      </x:c>
      <x:c r="O33" s="156" t="str">
        <x:v>Cash headroom</x:v>
      </x:c>
    </x:row>
    <x:row r="34" ht="22" customHeight="1">
      <x:c r="A34" s="129" t="n">
        <x:f>$A6</x:f>
        <x:v>0.15</x:v>
      </x:c>
      <x:c r="B34" s="112" t="n">
        <x:f>B$5</x:f>
        <x:v>50</x:v>
      </x:c>
      <x:c r="C34" s="85" t="n">
        <x:f>'01_Assumptions'!$B$11</x:f>
        <x:v>0.25</x:v>
      </x:c>
      <x:c r="D34" s="85" t="n">
        <x:f>'01_Assumptions'!$B$12</x:f>
        <x:v>0.25</x:v>
      </x:c>
      <x:c r="E34" s="85" t="n">
        <x:f>'01_Assumptions'!$B$13</x:f>
        <x:v>0.5</x:v>
      </x:c>
      <x:c r="F34" s="83" t="n">
        <x:f>'01_Assumptions'!$B$5*(1+A34)*'08_Transaction'!B10</x:f>
        <x:v>9872.476564499999</x:v>
      </x:c>
      <x:c r="G34" s="83" t="n">
        <x:f>F34+SUM('08_Transaction'!B12:B14)</x:f>
        <x:v>8707.548564499999</x:v>
      </x:c>
      <x:c r="H34" s="71" t="n">
        <x:f>F34*D34+'08_Transaction'!B12</x:f>
        <x:v>2468.1191411249997</x:v>
      </x:c>
      <x:c r="I34" s="71" t="n">
        <x:f>F34*C34+F34*'01_Assumptions'!$B$17+H34*'01_Assumptions'!$B$18</x:f>
        <x:v>2603.865693886875</x:v>
      </x:c>
      <x:c r="J34" s="71" t="n">
        <x:f>F34*E34/'01_Assumptions'!$B$6</x:f>
        <x:v>19.04192524881379</x:v>
      </x:c>
      <x:c r="K34" s="71" t="n">
        <x:f>G34*'01_Assumptions'!$B$22*('01_Assumptions'!$B$23/'01_Assumptions'!$B$26+'01_Assumptions'!$B$24/'01_Assumptions'!$B$27+'01_Assumptions'!$B$25/'01_Assumptions'!$B$28)</x:f>
        <x:v>426.6698796605</x:v>
      </x:c>
      <x:c r="L34" s="71" t="n">
        <x:f>(B34*'01_Assumptions'!$B$35+'01_Assumptions'!$B$38*'01_Assumptions'!$B$35*'01_Assumptions'!$B$39-K34)*(1-'01_Assumptions'!$B$16)</x:f>
        <x:v>-288.1524579402825</x:v>
      </x:c>
      <x:c r="M34" s="71" t="n">
        <x:f>(H34*'01_Assumptions'!$B$14+I34*'01_Assumptions'!$B$15+H34*'01_Assumptions'!$B$18/'01_Assumptions'!$B$19)*(1-'01_Assumptions'!$B$16*'01_Assumptions'!$B$63)</x:f>
        <x:v>208.06984795426087</x:v>
      </x:c>
      <x:c r="N34" s="72" t="n">
        <x:f>('03_CRM_Forecast'!E19+'05_GTLB_Forecast'!E19+L34-M34)/('03_CRM_Forecast'!E20+J34)/'03_CRM_Forecast'!E21-1</x:f>
        <x:v>-0.05624224735732242</x:v>
      </x:c>
      <x:c r="O34" s="71" t="n">
        <x:f>'09_Sources_Uses'!B27-I34</x:f>
        <x:v>1799.1343061131251</x:v>
      </x:c>
    </x:row>
    <x:row r="35" ht="22" customHeight="1">
      <x:c r="A35" s="129" t="n">
        <x:f>$A6</x:f>
        <x:v>0.15</x:v>
      </x:c>
      <x:c r="B35" s="112" t="n">
        <x:f>C$5</x:f>
        <x:v>100</x:v>
      </x:c>
      <x:c r="C35" s="85" t="n">
        <x:f>'01_Assumptions'!$B$11</x:f>
        <x:v>0.25</x:v>
      </x:c>
      <x:c r="D35" s="85" t="n">
        <x:f>'01_Assumptions'!$B$12</x:f>
        <x:v>0.25</x:v>
      </x:c>
      <x:c r="E35" s="85" t="n">
        <x:f>'01_Assumptions'!$B$13</x:f>
        <x:v>0.5</x:v>
      </x:c>
      <x:c r="F35" s="83" t="n">
        <x:f>'01_Assumptions'!$B$5*(1+A35)*'08_Transaction'!B10</x:f>
        <x:v>9872.476564499999</x:v>
      </x:c>
      <x:c r="G35" s="83" t="n">
        <x:f>F35+SUM('08_Transaction'!B12:B14)</x:f>
        <x:v>8707.548564499999</x:v>
      </x:c>
      <x:c r="H35" s="71" t="n">
        <x:f>F35*D35+'08_Transaction'!B12</x:f>
        <x:v>2468.1191411249997</x:v>
      </x:c>
      <x:c r="I35" s="71" t="n">
        <x:f>F35*C35+F35*'01_Assumptions'!$B$17+H35*'01_Assumptions'!$B$18</x:f>
        <x:v>2603.865693886875</x:v>
      </x:c>
      <x:c r="J35" s="71" t="n">
        <x:f>F35*E35/'01_Assumptions'!$B$6</x:f>
        <x:v>19.04192524881379</x:v>
      </x:c>
      <x:c r="K35" s="71" t="n">
        <x:f>G35*'01_Assumptions'!$B$22*('01_Assumptions'!$B$23/'01_Assumptions'!$B$26+'01_Assumptions'!$B$24/'01_Assumptions'!$B$27+'01_Assumptions'!$B$25/'01_Assumptions'!$B$28)</x:f>
        <x:v>426.6698796605</x:v>
      </x:c>
      <x:c r="L35" s="71" t="n">
        <x:f>(B35*'01_Assumptions'!$B$35+'01_Assumptions'!$B$38*'01_Assumptions'!$B$35*'01_Assumptions'!$B$39-K35)*(1-'01_Assumptions'!$B$16)</x:f>
        <x:v>-249.9024579402825</x:v>
      </x:c>
      <x:c r="M35" s="71" t="n">
        <x:f>(H35*'01_Assumptions'!$B$14+I35*'01_Assumptions'!$B$15+H35*'01_Assumptions'!$B$18/'01_Assumptions'!$B$19)*(1-'01_Assumptions'!$B$16*'01_Assumptions'!$B$63)</x:f>
        <x:v>208.06984795426087</x:v>
      </x:c>
      <x:c r="N35" s="72" t="n">
        <x:f>('03_CRM_Forecast'!E19+'05_GTLB_Forecast'!E19+L35-M35)/('03_CRM_Forecast'!E20+J35)/'03_CRM_Forecast'!E21-1</x:f>
        <x:v>-0.052426773245817015</x:v>
      </x:c>
      <x:c r="O35" s="71" t="n">
        <x:f>'09_Sources_Uses'!B27-I35</x:f>
        <x:v>1799.1343061131251</x:v>
      </x:c>
    </x:row>
    <x:row r="36" ht="22" customHeight="1">
      <x:c r="A36" s="129" t="n">
        <x:f>$A6</x:f>
        <x:v>0.15</x:v>
      </x:c>
      <x:c r="B36" s="112" t="n">
        <x:f>D$5</x:f>
        <x:v>150</x:v>
      </x:c>
      <x:c r="C36" s="85" t="n">
        <x:f>'01_Assumptions'!$B$11</x:f>
        <x:v>0.25</x:v>
      </x:c>
      <x:c r="D36" s="85" t="n">
        <x:f>'01_Assumptions'!$B$12</x:f>
        <x:v>0.25</x:v>
      </x:c>
      <x:c r="E36" s="85" t="n">
        <x:f>'01_Assumptions'!$B$13</x:f>
        <x:v>0.5</x:v>
      </x:c>
      <x:c r="F36" s="83" t="n">
        <x:f>'01_Assumptions'!$B$5*(1+A36)*'08_Transaction'!B10</x:f>
        <x:v>9872.476564499999</x:v>
      </x:c>
      <x:c r="G36" s="83" t="n">
        <x:f>F36+SUM('08_Transaction'!B12:B14)</x:f>
        <x:v>8707.548564499999</x:v>
      </x:c>
      <x:c r="H36" s="71" t="n">
        <x:f>F36*D36+'08_Transaction'!B12</x:f>
        <x:v>2468.1191411249997</x:v>
      </x:c>
      <x:c r="I36" s="71" t="n">
        <x:f>F36*C36+F36*'01_Assumptions'!$B$17+H36*'01_Assumptions'!$B$18</x:f>
        <x:v>2603.865693886875</x:v>
      </x:c>
      <x:c r="J36" s="71" t="n">
        <x:f>F36*E36/'01_Assumptions'!$B$6</x:f>
        <x:v>19.04192524881379</x:v>
      </x:c>
      <x:c r="K36" s="71" t="n">
        <x:f>G36*'01_Assumptions'!$B$22*('01_Assumptions'!$B$23/'01_Assumptions'!$B$26+'01_Assumptions'!$B$24/'01_Assumptions'!$B$27+'01_Assumptions'!$B$25/'01_Assumptions'!$B$28)</x:f>
        <x:v>426.6698796605</x:v>
      </x:c>
      <x:c r="L36" s="71" t="n">
        <x:f>(B36*'01_Assumptions'!$B$35+'01_Assumptions'!$B$38*'01_Assumptions'!$B$35*'01_Assumptions'!$B$39-K36)*(1-'01_Assumptions'!$B$16)</x:f>
        <x:v>-211.6524579402825</x:v>
      </x:c>
      <x:c r="M36" s="71" t="n">
        <x:f>(H36*'01_Assumptions'!$B$14+I36*'01_Assumptions'!$B$15+H36*'01_Assumptions'!$B$18/'01_Assumptions'!$B$19)*(1-'01_Assumptions'!$B$16*'01_Assumptions'!$B$63)</x:f>
        <x:v>208.06984795426087</x:v>
      </x:c>
      <x:c r="N36" s="72" t="n">
        <x:f>('03_CRM_Forecast'!E19+'05_GTLB_Forecast'!E19+L36-M36)/('03_CRM_Forecast'!E20+J36)/'03_CRM_Forecast'!E21-1</x:f>
        <x:v>-0.048611299134311836</x:v>
      </x:c>
      <x:c r="O36" s="71" t="n">
        <x:f>'09_Sources_Uses'!B27-I36</x:f>
        <x:v>1799.1343061131251</x:v>
      </x:c>
    </x:row>
    <x:row r="37" ht="22" customHeight="1">
      <x:c r="A37" s="129" t="n">
        <x:f>$A6</x:f>
        <x:v>0.15</x:v>
      </x:c>
      <x:c r="B37" s="112" t="n">
        <x:f>E$5</x:f>
        <x:v>200</x:v>
      </x:c>
      <x:c r="C37" s="85" t="n">
        <x:f>'01_Assumptions'!$B$11</x:f>
        <x:v>0.25</x:v>
      </x:c>
      <x:c r="D37" s="85" t="n">
        <x:f>'01_Assumptions'!$B$12</x:f>
        <x:v>0.25</x:v>
      </x:c>
      <x:c r="E37" s="85" t="n">
        <x:f>'01_Assumptions'!$B$13</x:f>
        <x:v>0.5</x:v>
      </x:c>
      <x:c r="F37" s="83" t="n">
        <x:f>'01_Assumptions'!$B$5*(1+A37)*'08_Transaction'!B10</x:f>
        <x:v>9872.476564499999</x:v>
      </x:c>
      <x:c r="G37" s="83" t="n">
        <x:f>F37+SUM('08_Transaction'!B12:B14)</x:f>
        <x:v>8707.548564499999</x:v>
      </x:c>
      <x:c r="H37" s="71" t="n">
        <x:f>F37*D37+'08_Transaction'!B12</x:f>
        <x:v>2468.1191411249997</x:v>
      </x:c>
      <x:c r="I37" s="71" t="n">
        <x:f>F37*C37+F37*'01_Assumptions'!$B$17+H37*'01_Assumptions'!$B$18</x:f>
        <x:v>2603.865693886875</x:v>
      </x:c>
      <x:c r="J37" s="71" t="n">
        <x:f>F37*E37/'01_Assumptions'!$B$6</x:f>
        <x:v>19.04192524881379</x:v>
      </x:c>
      <x:c r="K37" s="71" t="n">
        <x:f>G37*'01_Assumptions'!$B$22*('01_Assumptions'!$B$23/'01_Assumptions'!$B$26+'01_Assumptions'!$B$24/'01_Assumptions'!$B$27+'01_Assumptions'!$B$25/'01_Assumptions'!$B$28)</x:f>
        <x:v>426.6698796605</x:v>
      </x:c>
      <x:c r="L37" s="71" t="n">
        <x:f>(B37*'01_Assumptions'!$B$35+'01_Assumptions'!$B$38*'01_Assumptions'!$B$35*'01_Assumptions'!$B$39-K37)*(1-'01_Assumptions'!$B$16)</x:f>
        <x:v>-173.4024579402825</x:v>
      </x:c>
      <x:c r="M37" s="71" t="n">
        <x:f>(H37*'01_Assumptions'!$B$14+I37*'01_Assumptions'!$B$15+H37*'01_Assumptions'!$B$18/'01_Assumptions'!$B$19)*(1-'01_Assumptions'!$B$16*'01_Assumptions'!$B$63)</x:f>
        <x:v>208.06984795426087</x:v>
      </x:c>
      <x:c r="N37" s="72" t="n">
        <x:f>('03_CRM_Forecast'!E19+'05_GTLB_Forecast'!E19+L37-M37)/('03_CRM_Forecast'!E20+J37)/'03_CRM_Forecast'!E21-1</x:f>
        <x:v>-0.044795825022806435</x:v>
      </x:c>
      <x:c r="O37" s="71" t="n">
        <x:f>'09_Sources_Uses'!B27-I37</x:f>
        <x:v>1799.1343061131251</x:v>
      </x:c>
    </x:row>
    <x:row r="38" ht="22" customHeight="1">
      <x:c r="A38" s="129" t="n">
        <x:f>$A6</x:f>
        <x:v>0.15</x:v>
      </x:c>
      <x:c r="B38" s="112" t="n">
        <x:f>F$5</x:f>
        <x:v>300</x:v>
      </x:c>
      <x:c r="C38" s="85" t="n">
        <x:f>'01_Assumptions'!$B$11</x:f>
        <x:v>0.25</x:v>
      </x:c>
      <x:c r="D38" s="85" t="n">
        <x:f>'01_Assumptions'!$B$12</x:f>
        <x:v>0.25</x:v>
      </x:c>
      <x:c r="E38" s="85" t="n">
        <x:f>'01_Assumptions'!$B$13</x:f>
        <x:v>0.5</x:v>
      </x:c>
      <x:c r="F38" s="83" t="n">
        <x:f>'01_Assumptions'!$B$5*(1+A38)*'08_Transaction'!B10</x:f>
        <x:v>9872.476564499999</x:v>
      </x:c>
      <x:c r="G38" s="83" t="n">
        <x:f>F38+SUM('08_Transaction'!B12:B14)</x:f>
        <x:v>8707.548564499999</x:v>
      </x:c>
      <x:c r="H38" s="71" t="n">
        <x:f>F38*D38+'08_Transaction'!B12</x:f>
        <x:v>2468.1191411249997</x:v>
      </x:c>
      <x:c r="I38" s="71" t="n">
        <x:f>F38*C38+F38*'01_Assumptions'!$B$17+H38*'01_Assumptions'!$B$18</x:f>
        <x:v>2603.865693886875</x:v>
      </x:c>
      <x:c r="J38" s="71" t="n">
        <x:f>F38*E38/'01_Assumptions'!$B$6</x:f>
        <x:v>19.04192524881379</x:v>
      </x:c>
      <x:c r="K38" s="71" t="n">
        <x:f>G38*'01_Assumptions'!$B$22*('01_Assumptions'!$B$23/'01_Assumptions'!$B$26+'01_Assumptions'!$B$24/'01_Assumptions'!$B$27+'01_Assumptions'!$B$25/'01_Assumptions'!$B$28)</x:f>
        <x:v>426.6698796605</x:v>
      </x:c>
      <x:c r="L38" s="71" t="n">
        <x:f>(B38*'01_Assumptions'!$B$35+'01_Assumptions'!$B$38*'01_Assumptions'!$B$35*'01_Assumptions'!$B$39-K38)*(1-'01_Assumptions'!$B$16)</x:f>
        <x:v>-96.90245794028249</x:v>
      </x:c>
      <x:c r="M38" s="71" t="n">
        <x:f>(H38*'01_Assumptions'!$B$14+I38*'01_Assumptions'!$B$15+H38*'01_Assumptions'!$B$18/'01_Assumptions'!$B$19)*(1-'01_Assumptions'!$B$16*'01_Assumptions'!$B$63)</x:f>
        <x:v>208.06984795426087</x:v>
      </x:c>
      <x:c r="N38" s="72" t="n">
        <x:f>('03_CRM_Forecast'!E19+'05_GTLB_Forecast'!E19+L38-M38)/('03_CRM_Forecast'!E20+J38)/'03_CRM_Forecast'!E21-1</x:f>
        <x:v>-0.03716487679979574</x:v>
      </x:c>
      <x:c r="O38" s="71" t="n">
        <x:f>'09_Sources_Uses'!B27-I38</x:f>
        <x:v>1799.1343061131251</x:v>
      </x:c>
    </x:row>
    <x:row r="39" ht="22" customHeight="1">
      <x:c r="A39" s="129" t="n">
        <x:f>$A7</x:f>
        <x:v>0.2</x:v>
      </x:c>
      <x:c r="B39" s="112" t="n">
        <x:f>B$5</x:f>
        <x:v>50</x:v>
      </x:c>
      <x:c r="C39" s="85" t="n">
        <x:f>'01_Assumptions'!$B$11</x:f>
        <x:v>0.25</x:v>
      </x:c>
      <x:c r="D39" s="85" t="n">
        <x:f>'01_Assumptions'!$B$12</x:f>
        <x:v>0.25</x:v>
      </x:c>
      <x:c r="E39" s="85" t="n">
        <x:f>'01_Assumptions'!$B$13</x:f>
        <x:v>0.5</x:v>
      </x:c>
      <x:c r="F39" s="83" t="n">
        <x:f>'01_Assumptions'!$B$5*(1+A39)*'08_Transaction'!B10</x:f>
        <x:v>10301.714676</x:v>
      </x:c>
      <x:c r="G39" s="83" t="n">
        <x:f>F39+SUM('08_Transaction'!B12:B14)</x:f>
        <x:v>9136.786676</x:v>
      </x:c>
      <x:c r="H39" s="71" t="n">
        <x:f>F39*D39+'08_Transaction'!B12</x:f>
        <x:v>2575.428669</x:v>
      </x:c>
      <x:c r="I39" s="71" t="n">
        <x:f>F39*C39+F39*'01_Assumptions'!$B$17+H39*'01_Assumptions'!$B$18</x:f>
        <x:v>2717.0772457949997</x:v>
      </x:c>
      <x:c r="J39" s="71" t="n">
        <x:f>F39*E39/'01_Assumptions'!$B$6</x:f>
        <x:v>19.869835042240478</x:v>
      </x:c>
      <x:c r="K39" s="71" t="n">
        <x:f>G39*'01_Assumptions'!$B$22*('01_Assumptions'!$B$23/'01_Assumptions'!$B$26+'01_Assumptions'!$B$24/'01_Assumptions'!$B$27+'01_Assumptions'!$B$25/'01_Assumptions'!$B$28)</x:f>
        <x:v>447.702547124</x:v>
      </x:c>
      <x:c r="L39" s="71" t="n">
        <x:f>(B39*'01_Assumptions'!$B$35+'01_Assumptions'!$B$38*'01_Assumptions'!$B$35*'01_Assumptions'!$B$39-K39)*(1-'01_Assumptions'!$B$16)</x:f>
        <x:v>-304.24244854986</x:v>
      </x:c>
      <x:c r="M39" s="71" t="n">
        <x:f>(H39*'01_Assumptions'!$B$14+I39*'01_Assumptions'!$B$15+H39*'01_Assumptions'!$B$18/'01_Assumptions'!$B$19)*(1-'01_Assumptions'!$B$16*'01_Assumptions'!$B$63)</x:f>
        <x:v>217.11636308270698</x:v>
      </x:c>
      <x:c r="N39" s="72" t="n">
        <x:f>('03_CRM_Forecast'!E19+'05_GTLB_Forecast'!E19+L39-M39)/('03_CRM_Forecast'!E20+J39)/'03_CRM_Forecast'!E21-1</x:f>
        <x:v>-0.059671993428047965</x:v>
      </x:c>
      <x:c r="O39" s="71" t="n">
        <x:f>'09_Sources_Uses'!B27-I39</x:f>
        <x:v>1685.9227542050003</x:v>
      </x:c>
    </x:row>
    <x:row r="40" ht="22" customHeight="1">
      <x:c r="A40" s="129" t="n">
        <x:f>$A7</x:f>
        <x:v>0.2</x:v>
      </x:c>
      <x:c r="B40" s="112" t="n">
        <x:f>C$5</x:f>
        <x:v>100</x:v>
      </x:c>
      <x:c r="C40" s="85" t="n">
        <x:f>'01_Assumptions'!$B$11</x:f>
        <x:v>0.25</x:v>
      </x:c>
      <x:c r="D40" s="85" t="n">
        <x:f>'01_Assumptions'!$B$12</x:f>
        <x:v>0.25</x:v>
      </x:c>
      <x:c r="E40" s="85" t="n">
        <x:f>'01_Assumptions'!$B$13</x:f>
        <x:v>0.5</x:v>
      </x:c>
      <x:c r="F40" s="83" t="n">
        <x:f>'01_Assumptions'!$B$5*(1+A40)*'08_Transaction'!B10</x:f>
        <x:v>10301.714676</x:v>
      </x:c>
      <x:c r="G40" s="83" t="n">
        <x:f>F40+SUM('08_Transaction'!B12:B14)</x:f>
        <x:v>9136.786676</x:v>
      </x:c>
      <x:c r="H40" s="71" t="n">
        <x:f>F40*D40+'08_Transaction'!B12</x:f>
        <x:v>2575.428669</x:v>
      </x:c>
      <x:c r="I40" s="71" t="n">
        <x:f>F40*C40+F40*'01_Assumptions'!$B$17+H40*'01_Assumptions'!$B$18</x:f>
        <x:v>2717.0772457949997</x:v>
      </x:c>
      <x:c r="J40" s="71" t="n">
        <x:f>F40*E40/'01_Assumptions'!$B$6</x:f>
        <x:v>19.869835042240478</x:v>
      </x:c>
      <x:c r="K40" s="71" t="n">
        <x:f>G40*'01_Assumptions'!$B$22*('01_Assumptions'!$B$23/'01_Assumptions'!$B$26+'01_Assumptions'!$B$24/'01_Assumptions'!$B$27+'01_Assumptions'!$B$25/'01_Assumptions'!$B$28)</x:f>
        <x:v>447.702547124</x:v>
      </x:c>
      <x:c r="L40" s="71" t="n">
        <x:f>(B40*'01_Assumptions'!$B$35+'01_Assumptions'!$B$38*'01_Assumptions'!$B$35*'01_Assumptions'!$B$39-K40)*(1-'01_Assumptions'!$B$16)</x:f>
        <x:v>-265.99244854986</x:v>
      </x:c>
      <x:c r="M40" s="71" t="n">
        <x:f>(H40*'01_Assumptions'!$B$14+I40*'01_Assumptions'!$B$15+H40*'01_Assumptions'!$B$18/'01_Assumptions'!$B$19)*(1-'01_Assumptions'!$B$16*'01_Assumptions'!$B$63)</x:f>
        <x:v>217.11636308270698</x:v>
      </x:c>
      <x:c r="N40" s="72" t="n">
        <x:f>('03_CRM_Forecast'!E19+'05_GTLB_Forecast'!E19+L40-M40)/('03_CRM_Forecast'!E20+J40)/'03_CRM_Forecast'!E21-1</x:f>
        <x:v>-0.055860258198264345</x:v>
      </x:c>
      <x:c r="O40" s="71" t="n">
        <x:f>'09_Sources_Uses'!B27-I40</x:f>
        <x:v>1685.9227542050003</x:v>
      </x:c>
    </x:row>
    <x:row r="41" ht="22" customHeight="1">
      <x:c r="A41" s="129" t="n">
        <x:f>$A7</x:f>
        <x:v>0.2</x:v>
      </x:c>
      <x:c r="B41" s="112" t="n">
        <x:f>D$5</x:f>
        <x:v>150</x:v>
      </x:c>
      <x:c r="C41" s="85" t="n">
        <x:f>'01_Assumptions'!$B$11</x:f>
        <x:v>0.25</x:v>
      </x:c>
      <x:c r="D41" s="85" t="n">
        <x:f>'01_Assumptions'!$B$12</x:f>
        <x:v>0.25</x:v>
      </x:c>
      <x:c r="E41" s="85" t="n">
        <x:f>'01_Assumptions'!$B$13</x:f>
        <x:v>0.5</x:v>
      </x:c>
      <x:c r="F41" s="83" t="n">
        <x:f>'01_Assumptions'!$B$5*(1+A41)*'08_Transaction'!B10</x:f>
        <x:v>10301.714676</x:v>
      </x:c>
      <x:c r="G41" s="83" t="n">
        <x:f>F41+SUM('08_Transaction'!B12:B14)</x:f>
        <x:v>9136.786676</x:v>
      </x:c>
      <x:c r="H41" s="71" t="n">
        <x:f>F41*D41+'08_Transaction'!B12</x:f>
        <x:v>2575.428669</x:v>
      </x:c>
      <x:c r="I41" s="71" t="n">
        <x:f>F41*C41+F41*'01_Assumptions'!$B$17+H41*'01_Assumptions'!$B$18</x:f>
        <x:v>2717.0772457949997</x:v>
      </x:c>
      <x:c r="J41" s="71" t="n">
        <x:f>F41*E41/'01_Assumptions'!$B$6</x:f>
        <x:v>19.869835042240478</x:v>
      </x:c>
      <x:c r="K41" s="71" t="n">
        <x:f>G41*'01_Assumptions'!$B$22*('01_Assumptions'!$B$23/'01_Assumptions'!$B$26+'01_Assumptions'!$B$24/'01_Assumptions'!$B$27+'01_Assumptions'!$B$25/'01_Assumptions'!$B$28)</x:f>
        <x:v>447.702547124</x:v>
      </x:c>
      <x:c r="L41" s="71" t="n">
        <x:f>(B41*'01_Assumptions'!$B$35+'01_Assumptions'!$B$38*'01_Assumptions'!$B$35*'01_Assumptions'!$B$39-K41)*(1-'01_Assumptions'!$B$16)</x:f>
        <x:v>-227.74244854986</x:v>
      </x:c>
      <x:c r="M41" s="71" t="n">
        <x:f>(H41*'01_Assumptions'!$B$14+I41*'01_Assumptions'!$B$15+H41*'01_Assumptions'!$B$18/'01_Assumptions'!$B$19)*(1-'01_Assumptions'!$B$16*'01_Assumptions'!$B$63)</x:f>
        <x:v>217.11636308270698</x:v>
      </x:c>
      <x:c r="N41" s="72" t="n">
        <x:f>('03_CRM_Forecast'!E19+'05_GTLB_Forecast'!E19+L41-M41)/('03_CRM_Forecast'!E20+J41)/'03_CRM_Forecast'!E21-1</x:f>
        <x:v>-0.05204852296848084</x:v>
      </x:c>
      <x:c r="O41" s="71" t="n">
        <x:f>'09_Sources_Uses'!B27-I41</x:f>
        <x:v>1685.9227542050003</x:v>
      </x:c>
    </x:row>
    <x:row r="42" ht="22" customHeight="1">
      <x:c r="A42" s="129" t="n">
        <x:f>$A7</x:f>
        <x:v>0.2</x:v>
      </x:c>
      <x:c r="B42" s="112" t="n">
        <x:f>E$5</x:f>
        <x:v>200</x:v>
      </x:c>
      <x:c r="C42" s="85" t="n">
        <x:f>'01_Assumptions'!$B$11</x:f>
        <x:v>0.25</x:v>
      </x:c>
      <x:c r="D42" s="85" t="n">
        <x:f>'01_Assumptions'!$B$12</x:f>
        <x:v>0.25</x:v>
      </x:c>
      <x:c r="E42" s="85" t="n">
        <x:f>'01_Assumptions'!$B$13</x:f>
        <x:v>0.5</x:v>
      </x:c>
      <x:c r="F42" s="83" t="n">
        <x:f>'01_Assumptions'!$B$5*(1+A42)*'08_Transaction'!B10</x:f>
        <x:v>10301.714676</x:v>
      </x:c>
      <x:c r="G42" s="83" t="n">
        <x:f>F42+SUM('08_Transaction'!B12:B14)</x:f>
        <x:v>9136.786676</x:v>
      </x:c>
      <x:c r="H42" s="71" t="n">
        <x:f>F42*D42+'08_Transaction'!B12</x:f>
        <x:v>2575.428669</x:v>
      </x:c>
      <x:c r="I42" s="71" t="n">
        <x:f>F42*C42+F42*'01_Assumptions'!$B$17+H42*'01_Assumptions'!$B$18</x:f>
        <x:v>2717.0772457949997</x:v>
      </x:c>
      <x:c r="J42" s="71" t="n">
        <x:f>F42*E42/'01_Assumptions'!$B$6</x:f>
        <x:v>19.869835042240478</x:v>
      </x:c>
      <x:c r="K42" s="71" t="n">
        <x:f>G42*'01_Assumptions'!$B$22*('01_Assumptions'!$B$23/'01_Assumptions'!$B$26+'01_Assumptions'!$B$24/'01_Assumptions'!$B$27+'01_Assumptions'!$B$25/'01_Assumptions'!$B$28)</x:f>
        <x:v>447.702547124</x:v>
      </x:c>
      <x:c r="L42" s="71" t="n">
        <x:f>(B42*'01_Assumptions'!$B$35+'01_Assumptions'!$B$38*'01_Assumptions'!$B$35*'01_Assumptions'!$B$39-K42)*(1-'01_Assumptions'!$B$16)</x:f>
        <x:v>-189.49244854985997</x:v>
      </x:c>
      <x:c r="M42" s="71" t="n">
        <x:f>(H42*'01_Assumptions'!$B$14+I42*'01_Assumptions'!$B$15+H42*'01_Assumptions'!$B$18/'01_Assumptions'!$B$19)*(1-'01_Assumptions'!$B$16*'01_Assumptions'!$B$63)</x:f>
        <x:v>217.11636308270698</x:v>
      </x:c>
      <x:c r="N42" s="72" t="n">
        <x:f>('03_CRM_Forecast'!E19+'05_GTLB_Forecast'!E19+L42-M42)/('03_CRM_Forecast'!E20+J42)/'03_CRM_Forecast'!E21-1</x:f>
        <x:v>-0.04823678773869722</x:v>
      </x:c>
      <x:c r="O42" s="71" t="n">
        <x:f>'09_Sources_Uses'!B27-I42</x:f>
        <x:v>1685.9227542050003</x:v>
      </x:c>
    </x:row>
    <x:row r="43" ht="22" customHeight="1">
      <x:c r="A43" s="129" t="n">
        <x:f>$A7</x:f>
        <x:v>0.2</x:v>
      </x:c>
      <x:c r="B43" s="112" t="n">
        <x:f>F$5</x:f>
        <x:v>300</x:v>
      </x:c>
      <x:c r="C43" s="85" t="n">
        <x:f>'01_Assumptions'!$B$11</x:f>
        <x:v>0.25</x:v>
      </x:c>
      <x:c r="D43" s="85" t="n">
        <x:f>'01_Assumptions'!$B$12</x:f>
        <x:v>0.25</x:v>
      </x:c>
      <x:c r="E43" s="85" t="n">
        <x:f>'01_Assumptions'!$B$13</x:f>
        <x:v>0.5</x:v>
      </x:c>
      <x:c r="F43" s="83" t="n">
        <x:f>'01_Assumptions'!$B$5*(1+A43)*'08_Transaction'!B10</x:f>
        <x:v>10301.714676</x:v>
      </x:c>
      <x:c r="G43" s="83" t="n">
        <x:f>F43+SUM('08_Transaction'!B12:B14)</x:f>
        <x:v>9136.786676</x:v>
      </x:c>
      <x:c r="H43" s="71" t="n">
        <x:f>F43*D43+'08_Transaction'!B12</x:f>
        <x:v>2575.428669</x:v>
      </x:c>
      <x:c r="I43" s="71" t="n">
        <x:f>F43*C43+F43*'01_Assumptions'!$B$17+H43*'01_Assumptions'!$B$18</x:f>
        <x:v>2717.0772457949997</x:v>
      </x:c>
      <x:c r="J43" s="71" t="n">
        <x:f>F43*E43/'01_Assumptions'!$B$6</x:f>
        <x:v>19.869835042240478</x:v>
      </x:c>
      <x:c r="K43" s="71" t="n">
        <x:f>G43*'01_Assumptions'!$B$22*('01_Assumptions'!$B$23/'01_Assumptions'!$B$26+'01_Assumptions'!$B$24/'01_Assumptions'!$B$27+'01_Assumptions'!$B$25/'01_Assumptions'!$B$28)</x:f>
        <x:v>447.702547124</x:v>
      </x:c>
      <x:c r="L43" s="71" t="n">
        <x:f>(B43*'01_Assumptions'!$B$35+'01_Assumptions'!$B$38*'01_Assumptions'!$B$35*'01_Assumptions'!$B$39-K43)*(1-'01_Assumptions'!$B$16)</x:f>
        <x:v>-112.99244854985999</x:v>
      </x:c>
      <x:c r="M43" s="71" t="n">
        <x:f>(H43*'01_Assumptions'!$B$14+I43*'01_Assumptions'!$B$15+H43*'01_Assumptions'!$B$18/'01_Assumptions'!$B$19)*(1-'01_Assumptions'!$B$16*'01_Assumptions'!$B$63)</x:f>
        <x:v>217.11636308270698</x:v>
      </x:c>
      <x:c r="N43" s="72" t="n">
        <x:f>('03_CRM_Forecast'!E19+'05_GTLB_Forecast'!E19+L43-M43)/('03_CRM_Forecast'!E20+J43)/'03_CRM_Forecast'!E21-1</x:f>
        <x:v>-0.04061331727913009</x:v>
      </x:c>
      <x:c r="O43" s="71" t="n">
        <x:f>'09_Sources_Uses'!B27-I43</x:f>
        <x:v>1685.9227542050003</x:v>
      </x:c>
    </x:row>
    <x:row r="44" ht="22" customHeight="1">
      <x:c r="A44" s="129" t="n">
        <x:f>$A8</x:f>
        <x:v>0.25</x:v>
      </x:c>
      <x:c r="B44" s="112" t="n">
        <x:f>B$5</x:f>
        <x:v>50</x:v>
      </x:c>
      <x:c r="C44" s="85" t="n">
        <x:f>'01_Assumptions'!$B$11</x:f>
        <x:v>0.25</x:v>
      </x:c>
      <x:c r="D44" s="85" t="n">
        <x:f>'01_Assumptions'!$B$12</x:f>
        <x:v>0.25</x:v>
      </x:c>
      <x:c r="E44" s="85" t="n">
        <x:f>'01_Assumptions'!$B$13</x:f>
        <x:v>0.5</x:v>
      </x:c>
      <x:c r="F44" s="83" t="n">
        <x:f>'01_Assumptions'!$B$5*(1+A44)*'08_Transaction'!B10</x:f>
        <x:v>10730.952787499999</x:v>
      </x:c>
      <x:c r="G44" s="83" t="n">
        <x:f>F44+SUM('08_Transaction'!B12:B14)</x:f>
        <x:v>9566.024787499999</x:v>
      </x:c>
      <x:c r="H44" s="71" t="n">
        <x:f>F44*D44+'08_Transaction'!B12</x:f>
        <x:v>2682.7381968749996</x:v>
      </x:c>
      <x:c r="I44" s="71" t="n">
        <x:f>F44*C44+F44*'01_Assumptions'!$B$17+H44*'01_Assumptions'!$B$18</x:f>
        <x:v>2830.2887977031246</x:v>
      </x:c>
      <x:c r="J44" s="71" t="n">
        <x:f>F44*E44/'01_Assumptions'!$B$6</x:f>
        <x:v>20.697744835667162</x:v>
      </x:c>
      <x:c r="K44" s="71" t="n">
        <x:f>G44*'01_Assumptions'!$B$22*('01_Assumptions'!$B$23/'01_Assumptions'!$B$26+'01_Assumptions'!$B$24/'01_Assumptions'!$B$27+'01_Assumptions'!$B$25/'01_Assumptions'!$B$28)</x:f>
        <x:v>468.73521458749997</x:v>
      </x:c>
      <x:c r="L44" s="71" t="n">
        <x:f>(B44*'01_Assumptions'!$B$35+'01_Assumptions'!$B$38*'01_Assumptions'!$B$35*'01_Assumptions'!$B$39-K44)*(1-'01_Assumptions'!$B$16)</x:f>
        <x:v>-320.33243915943746</x:v>
      </x:c>
      <x:c r="M44" s="71" t="n">
        <x:f>(H44*'01_Assumptions'!$B$14+I44*'01_Assumptions'!$B$15+H44*'01_Assumptions'!$B$18/'01_Assumptions'!$B$19)*(1-'01_Assumptions'!$B$16*'01_Assumptions'!$B$63)</x:f>
        <x:v>226.16287821115313</x:v>
      </x:c>
      <x:c r="N44" s="72" t="n">
        <x:f>('03_CRM_Forecast'!E19+'05_GTLB_Forecast'!E19+L44-M44)/('03_CRM_Forecast'!E20+J44)/'03_CRM_Forecast'!E21-1</x:f>
        <x:v>-0.06309502428550007</x:v>
      </x:c>
      <x:c r="O44" s="71" t="n">
        <x:f>'09_Sources_Uses'!B27-I44</x:f>
        <x:v>1572.7112022968754</x:v>
      </x:c>
    </x:row>
    <x:row r="45" ht="22" customHeight="1">
      <x:c r="A45" s="129" t="n">
        <x:f>$A8</x:f>
        <x:v>0.25</x:v>
      </x:c>
      <x:c r="B45" s="112" t="n">
        <x:f>C$5</x:f>
        <x:v>100</x:v>
      </x:c>
      <x:c r="C45" s="85" t="n">
        <x:f>'01_Assumptions'!$B$11</x:f>
        <x:v>0.25</x:v>
      </x:c>
      <x:c r="D45" s="85" t="n">
        <x:f>'01_Assumptions'!$B$12</x:f>
        <x:v>0.25</x:v>
      </x:c>
      <x:c r="E45" s="85" t="n">
        <x:f>'01_Assumptions'!$B$13</x:f>
        <x:v>0.5</x:v>
      </x:c>
      <x:c r="F45" s="83" t="n">
        <x:f>'01_Assumptions'!$B$5*(1+A45)*'08_Transaction'!B10</x:f>
        <x:v>10730.952787499999</x:v>
      </x:c>
      <x:c r="G45" s="83" t="n">
        <x:f>F45+SUM('08_Transaction'!B12:B14)</x:f>
        <x:v>9566.024787499999</x:v>
      </x:c>
      <x:c r="H45" s="71" t="n">
        <x:f>F45*D45+'08_Transaction'!B12</x:f>
        <x:v>2682.7381968749996</x:v>
      </x:c>
      <x:c r="I45" s="71" t="n">
        <x:f>F45*C45+F45*'01_Assumptions'!$B$17+H45*'01_Assumptions'!$B$18</x:f>
        <x:v>2830.2887977031246</x:v>
      </x:c>
      <x:c r="J45" s="71" t="n">
        <x:f>F45*E45/'01_Assumptions'!$B$6</x:f>
        <x:v>20.697744835667162</x:v>
      </x:c>
      <x:c r="K45" s="71" t="n">
        <x:f>G45*'01_Assumptions'!$B$22*('01_Assumptions'!$B$23/'01_Assumptions'!$B$26+'01_Assumptions'!$B$24/'01_Assumptions'!$B$27+'01_Assumptions'!$B$25/'01_Assumptions'!$B$28)</x:f>
        <x:v>468.73521458749997</x:v>
      </x:c>
      <x:c r="L45" s="71" t="n">
        <x:f>(B45*'01_Assumptions'!$B$35+'01_Assumptions'!$B$38*'01_Assumptions'!$B$35*'01_Assumptions'!$B$39-K45)*(1-'01_Assumptions'!$B$16)</x:f>
        <x:v>-282.08243915943746</x:v>
      </x:c>
      <x:c r="M45" s="71" t="n">
        <x:f>(H45*'01_Assumptions'!$B$14+I45*'01_Assumptions'!$B$15+H45*'01_Assumptions'!$B$18/'01_Assumptions'!$B$19)*(1-'01_Assumptions'!$B$16*'01_Assumptions'!$B$63)</x:f>
        <x:v>226.16287821115313</x:v>
      </x:c>
      <x:c r="N45" s="72" t="n">
        <x:f>('03_CRM_Forecast'!E19+'05_GTLB_Forecast'!E19+L45-M45)/('03_CRM_Forecast'!E20+J45)/'03_CRM_Forecast'!E21-1</x:f>
        <x:v>-0.05928702061695801</x:v>
      </x:c>
      <x:c r="O45" s="71" t="n">
        <x:f>'09_Sources_Uses'!B27-I45</x:f>
        <x:v>1572.7112022968754</x:v>
      </x:c>
    </x:row>
    <x:row r="46" ht="22" customHeight="1">
      <x:c r="A46" s="129" t="n">
        <x:f>$A8</x:f>
        <x:v>0.25</x:v>
      </x:c>
      <x:c r="B46" s="112" t="n">
        <x:f>D$5</x:f>
        <x:v>150</x:v>
      </x:c>
      <x:c r="C46" s="85" t="n">
        <x:f>'01_Assumptions'!$B$11</x:f>
        <x:v>0.25</x:v>
      </x:c>
      <x:c r="D46" s="85" t="n">
        <x:f>'01_Assumptions'!$B$12</x:f>
        <x:v>0.25</x:v>
      </x:c>
      <x:c r="E46" s="85" t="n">
        <x:f>'01_Assumptions'!$B$13</x:f>
        <x:v>0.5</x:v>
      </x:c>
      <x:c r="F46" s="83" t="n">
        <x:f>'01_Assumptions'!$B$5*(1+A46)*'08_Transaction'!B10</x:f>
        <x:v>10730.952787499999</x:v>
      </x:c>
      <x:c r="G46" s="83" t="n">
        <x:f>F46+SUM('08_Transaction'!B12:B14)</x:f>
        <x:v>9566.024787499999</x:v>
      </x:c>
      <x:c r="H46" s="71" t="n">
        <x:f>F46*D46+'08_Transaction'!B12</x:f>
        <x:v>2682.7381968749996</x:v>
      </x:c>
      <x:c r="I46" s="71" t="n">
        <x:f>F46*C46+F46*'01_Assumptions'!$B$17+H46*'01_Assumptions'!$B$18</x:f>
        <x:v>2830.2887977031246</x:v>
      </x:c>
      <x:c r="J46" s="71" t="n">
        <x:f>F46*E46/'01_Assumptions'!$B$6</x:f>
        <x:v>20.697744835667162</x:v>
      </x:c>
      <x:c r="K46" s="71" t="n">
        <x:f>G46*'01_Assumptions'!$B$22*('01_Assumptions'!$B$23/'01_Assumptions'!$B$26+'01_Assumptions'!$B$24/'01_Assumptions'!$B$27+'01_Assumptions'!$B$25/'01_Assumptions'!$B$28)</x:f>
        <x:v>468.73521458749997</x:v>
      </x:c>
      <x:c r="L46" s="71" t="n">
        <x:f>(B46*'01_Assumptions'!$B$35+'01_Assumptions'!$B$38*'01_Assumptions'!$B$35*'01_Assumptions'!$B$39-K46)*(1-'01_Assumptions'!$B$16)</x:f>
        <x:v>-243.83243915943748</x:v>
      </x:c>
      <x:c r="M46" s="71" t="n">
        <x:f>(H46*'01_Assumptions'!$B$14+I46*'01_Assumptions'!$B$15+H46*'01_Assumptions'!$B$18/'01_Assumptions'!$B$19)*(1-'01_Assumptions'!$B$16*'01_Assumptions'!$B$63)</x:f>
        <x:v>226.16287821115313</x:v>
      </x:c>
      <x:c r="N46" s="72" t="n">
        <x:f>('03_CRM_Forecast'!E19+'05_GTLB_Forecast'!E19+L46-M46)/('03_CRM_Forecast'!E20+J46)/'03_CRM_Forecast'!E21-1</x:f>
        <x:v>-0.05547901694841606</x:v>
      </x:c>
      <x:c r="O46" s="71" t="n">
        <x:f>'09_Sources_Uses'!B27-I46</x:f>
        <x:v>1572.7112022968754</x:v>
      </x:c>
    </x:row>
    <x:row r="47" ht="22" customHeight="1">
      <x:c r="A47" s="129" t="n">
        <x:f>$A8</x:f>
        <x:v>0.25</x:v>
      </x:c>
      <x:c r="B47" s="112" t="n">
        <x:f>E$5</x:f>
        <x:v>200</x:v>
      </x:c>
      <x:c r="C47" s="85" t="n">
        <x:f>'01_Assumptions'!$B$11</x:f>
        <x:v>0.25</x:v>
      </x:c>
      <x:c r="D47" s="85" t="n">
        <x:f>'01_Assumptions'!$B$12</x:f>
        <x:v>0.25</x:v>
      </x:c>
      <x:c r="E47" s="85" t="n">
        <x:f>'01_Assumptions'!$B$13</x:f>
        <x:v>0.5</x:v>
      </x:c>
      <x:c r="F47" s="83" t="n">
        <x:f>'01_Assumptions'!$B$5*(1+A47)*'08_Transaction'!B10</x:f>
        <x:v>10730.952787499999</x:v>
      </x:c>
      <x:c r="G47" s="83" t="n">
        <x:f>F47+SUM('08_Transaction'!B12:B14)</x:f>
        <x:v>9566.024787499999</x:v>
      </x:c>
      <x:c r="H47" s="71" t="n">
        <x:f>F47*D47+'08_Transaction'!B12</x:f>
        <x:v>2682.7381968749996</x:v>
      </x:c>
      <x:c r="I47" s="71" t="n">
        <x:f>F47*C47+F47*'01_Assumptions'!$B$17+H47*'01_Assumptions'!$B$18</x:f>
        <x:v>2830.2887977031246</x:v>
      </x:c>
      <x:c r="J47" s="71" t="n">
        <x:f>F47*E47/'01_Assumptions'!$B$6</x:f>
        <x:v>20.697744835667162</x:v>
      </x:c>
      <x:c r="K47" s="71" t="n">
        <x:f>G47*'01_Assumptions'!$B$22*('01_Assumptions'!$B$23/'01_Assumptions'!$B$26+'01_Assumptions'!$B$24/'01_Assumptions'!$B$27+'01_Assumptions'!$B$25/'01_Assumptions'!$B$28)</x:f>
        <x:v>468.73521458749997</x:v>
      </x:c>
      <x:c r="L47" s="71" t="n">
        <x:f>(B47*'01_Assumptions'!$B$35+'01_Assumptions'!$B$38*'01_Assumptions'!$B$35*'01_Assumptions'!$B$39-K47)*(1-'01_Assumptions'!$B$16)</x:f>
        <x:v>-205.58243915943748</x:v>
      </x:c>
      <x:c r="M47" s="71" t="n">
        <x:f>(H47*'01_Assumptions'!$B$14+I47*'01_Assumptions'!$B$15+H47*'01_Assumptions'!$B$18/'01_Assumptions'!$B$19)*(1-'01_Assumptions'!$B$16*'01_Assumptions'!$B$63)</x:f>
        <x:v>226.16287821115313</x:v>
      </x:c>
      <x:c r="N47" s="72" t="n">
        <x:f>('03_CRM_Forecast'!E19+'05_GTLB_Forecast'!E19+L47-M47)/('03_CRM_Forecast'!E20+J47)/'03_CRM_Forecast'!E21-1</x:f>
        <x:v>-0.05167101327987389</x:v>
      </x:c>
      <x:c r="O47" s="71" t="n">
        <x:f>'09_Sources_Uses'!B27-I47</x:f>
        <x:v>1572.7112022968754</x:v>
      </x:c>
    </x:row>
    <x:row r="48" ht="22" customHeight="1">
      <x:c r="A48" s="129" t="n">
        <x:f>$A8</x:f>
        <x:v>0.25</x:v>
      </x:c>
      <x:c r="B48" s="112" t="n">
        <x:f>F$5</x:f>
        <x:v>300</x:v>
      </x:c>
      <x:c r="C48" s="85" t="n">
        <x:f>'01_Assumptions'!$B$11</x:f>
        <x:v>0.25</x:v>
      </x:c>
      <x:c r="D48" s="85" t="n">
        <x:f>'01_Assumptions'!$B$12</x:f>
        <x:v>0.25</x:v>
      </x:c>
      <x:c r="E48" s="85" t="n">
        <x:f>'01_Assumptions'!$B$13</x:f>
        <x:v>0.5</x:v>
      </x:c>
      <x:c r="F48" s="83" t="n">
        <x:f>'01_Assumptions'!$B$5*(1+A48)*'08_Transaction'!B10</x:f>
        <x:v>10730.952787499999</x:v>
      </x:c>
      <x:c r="G48" s="83" t="n">
        <x:f>F48+SUM('08_Transaction'!B12:B14)</x:f>
        <x:v>9566.024787499999</x:v>
      </x:c>
      <x:c r="H48" s="71" t="n">
        <x:f>F48*D48+'08_Transaction'!B12</x:f>
        <x:v>2682.7381968749996</x:v>
      </x:c>
      <x:c r="I48" s="71" t="n">
        <x:f>F48*C48+F48*'01_Assumptions'!$B$17+H48*'01_Assumptions'!$B$18</x:f>
        <x:v>2830.2887977031246</x:v>
      </x:c>
      <x:c r="J48" s="71" t="n">
        <x:f>F48*E48/'01_Assumptions'!$B$6</x:f>
        <x:v>20.697744835667162</x:v>
      </x:c>
      <x:c r="K48" s="71" t="n">
        <x:f>G48*'01_Assumptions'!$B$22*('01_Assumptions'!$B$23/'01_Assumptions'!$B$26+'01_Assumptions'!$B$24/'01_Assumptions'!$B$27+'01_Assumptions'!$B$25/'01_Assumptions'!$B$28)</x:f>
        <x:v>468.73521458749997</x:v>
      </x:c>
      <x:c r="L48" s="71" t="n">
        <x:f>(B48*'01_Assumptions'!$B$35+'01_Assumptions'!$B$38*'01_Assumptions'!$B$35*'01_Assumptions'!$B$39-K48)*(1-'01_Assumptions'!$B$16)</x:f>
        <x:v>-129.08243915943748</x:v>
      </x:c>
      <x:c r="M48" s="71" t="n">
        <x:f>(H48*'01_Assumptions'!$B$14+I48*'01_Assumptions'!$B$15+H48*'01_Assumptions'!$B$18/'01_Assumptions'!$B$19)*(1-'01_Assumptions'!$B$16*'01_Assumptions'!$B$63)</x:f>
        <x:v>226.16287821115313</x:v>
      </x:c>
      <x:c r="N48" s="72" t="n">
        <x:f>('03_CRM_Forecast'!E19+'05_GTLB_Forecast'!E19+L48-M48)/('03_CRM_Forecast'!E20+J48)/'03_CRM_Forecast'!E21-1</x:f>
        <x:v>-0.04405500594278977</x:v>
      </x:c>
      <x:c r="O48" s="71" t="n">
        <x:f>'09_Sources_Uses'!B27-I48</x:f>
        <x:v>1572.7112022968754</x:v>
      </x:c>
    </x:row>
    <x:row r="49" ht="22" customHeight="1">
      <x:c r="A49" s="129" t="n">
        <x:f>$A9</x:f>
        <x:v>0.3</x:v>
      </x:c>
      <x:c r="B49" s="112" t="n">
        <x:f>B$5</x:f>
        <x:v>50</x:v>
      </x:c>
      <x:c r="C49" s="85" t="n">
        <x:f>'01_Assumptions'!$B$11</x:f>
        <x:v>0.25</x:v>
      </x:c>
      <x:c r="D49" s="85" t="n">
        <x:f>'01_Assumptions'!$B$12</x:f>
        <x:v>0.25</x:v>
      </x:c>
      <x:c r="E49" s="85" t="n">
        <x:f>'01_Assumptions'!$B$13</x:f>
        <x:v>0.5</x:v>
      </x:c>
      <x:c r="F49" s="83" t="n">
        <x:f>'01_Assumptions'!$B$5*(1+A49)*'08_Transaction'!B10</x:f>
        <x:v>11160.190899</x:v>
      </x:c>
      <x:c r="G49" s="83" t="n">
        <x:f>F49+SUM('08_Transaction'!B12:B14)</x:f>
        <x:v>9995.262899</x:v>
      </x:c>
      <x:c r="H49" s="71" t="n">
        <x:f>F49*D49+'08_Transaction'!B12</x:f>
        <x:v>2790.04772475</x:v>
      </x:c>
      <x:c r="I49" s="71" t="n">
        <x:f>F49*C49+F49*'01_Assumptions'!$B$17+H49*'01_Assumptions'!$B$18</x:f>
        <x:v>2943.50034961125</x:v>
      </x:c>
      <x:c r="J49" s="71" t="n">
        <x:f>F49*E49/'01_Assumptions'!$B$6</x:f>
        <x:v>21.52565462909385</x:v>
      </x:c>
      <x:c r="K49" s="71" t="n">
        <x:f>G49*'01_Assumptions'!$B$22*('01_Assumptions'!$B$23/'01_Assumptions'!$B$26+'01_Assumptions'!$B$24/'01_Assumptions'!$B$27+'01_Assumptions'!$B$25/'01_Assumptions'!$B$28)</x:f>
        <x:v>489.767882051</x:v>
      </x:c>
      <x:c r="L49" s="71" t="n">
        <x:f>(B49*'01_Assumptions'!$B$35+'01_Assumptions'!$B$38*'01_Assumptions'!$B$35*'01_Assumptions'!$B$39-K49)*(1-'01_Assumptions'!$B$16)</x:f>
        <x:v>-336.422429769015</x:v>
      </x:c>
      <x:c r="M49" s="71" t="n">
        <x:f>(H49*'01_Assumptions'!$B$14+I49*'01_Assumptions'!$B$15+H49*'01_Assumptions'!$B$18/'01_Assumptions'!$B$19)*(1-'01_Assumptions'!$B$16*'01_Assumptions'!$B$63)</x:f>
        <x:v>235.20939333959927</x:v>
      </x:c>
      <x:c r="N49" s="72" t="n">
        <x:f>('03_CRM_Forecast'!E19+'05_GTLB_Forecast'!E19+L49-M49)/('03_CRM_Forecast'!E20+J49)/'03_CRM_Forecast'!E21-1</x:f>
        <x:v>-0.06651135963229704</x:v>
      </x:c>
      <x:c r="O49" s="71" t="n">
        <x:f>'09_Sources_Uses'!B27-I49</x:f>
        <x:v>1459.49965038875</x:v>
      </x:c>
    </x:row>
    <x:row r="50" ht="22" customHeight="1">
      <x:c r="A50" s="129" t="n">
        <x:f>$A9</x:f>
        <x:v>0.3</x:v>
      </x:c>
      <x:c r="B50" s="112" t="n">
        <x:f>C$5</x:f>
        <x:v>100</x:v>
      </x:c>
      <x:c r="C50" s="85" t="n">
        <x:f>'01_Assumptions'!$B$11</x:f>
        <x:v>0.25</x:v>
      </x:c>
      <x:c r="D50" s="85" t="n">
        <x:f>'01_Assumptions'!$B$12</x:f>
        <x:v>0.25</x:v>
      </x:c>
      <x:c r="E50" s="85" t="n">
        <x:f>'01_Assumptions'!$B$13</x:f>
        <x:v>0.5</x:v>
      </x:c>
      <x:c r="F50" s="83" t="n">
        <x:f>'01_Assumptions'!$B$5*(1+A50)*'08_Transaction'!B10</x:f>
        <x:v>11160.190899</x:v>
      </x:c>
      <x:c r="G50" s="83" t="n">
        <x:f>F50+SUM('08_Transaction'!B12:B14)</x:f>
        <x:v>9995.262899</x:v>
      </x:c>
      <x:c r="H50" s="71" t="n">
        <x:f>F50*D50+'08_Transaction'!B12</x:f>
        <x:v>2790.04772475</x:v>
      </x:c>
      <x:c r="I50" s="71" t="n">
        <x:f>F50*C50+F50*'01_Assumptions'!$B$17+H50*'01_Assumptions'!$B$18</x:f>
        <x:v>2943.50034961125</x:v>
      </x:c>
      <x:c r="J50" s="71" t="n">
        <x:f>F50*E50/'01_Assumptions'!$B$6</x:f>
        <x:v>21.52565462909385</x:v>
      </x:c>
      <x:c r="K50" s="71" t="n">
        <x:f>G50*'01_Assumptions'!$B$22*('01_Assumptions'!$B$23/'01_Assumptions'!$B$26+'01_Assumptions'!$B$24/'01_Assumptions'!$B$27+'01_Assumptions'!$B$25/'01_Assumptions'!$B$28)</x:f>
        <x:v>489.767882051</x:v>
      </x:c>
      <x:c r="L50" s="71" t="n">
        <x:f>(B50*'01_Assumptions'!$B$35+'01_Assumptions'!$B$38*'01_Assumptions'!$B$35*'01_Assumptions'!$B$39-K50)*(1-'01_Assumptions'!$B$16)</x:f>
        <x:v>-298.172429769015</x:v>
      </x:c>
      <x:c r="M50" s="71" t="n">
        <x:f>(H50*'01_Assumptions'!$B$14+I50*'01_Assumptions'!$B$15+H50*'01_Assumptions'!$B$18/'01_Assumptions'!$B$19)*(1-'01_Assumptions'!$B$16*'01_Assumptions'!$B$63)</x:f>
        <x:v>235.20939333959927</x:v>
      </x:c>
      <x:c r="N50" s="72" t="n">
        <x:f>('03_CRM_Forecast'!E19+'05_GTLB_Forecast'!E19+L50-M50)/('03_CRM_Forecast'!E20+J50)/'03_CRM_Forecast'!E21-1</x:f>
        <x:v>-0.0627070802259947</x:v>
      </x:c>
      <x:c r="O50" s="71" t="n">
        <x:f>'09_Sources_Uses'!B27-I50</x:f>
        <x:v>1459.49965038875</x:v>
      </x:c>
    </x:row>
    <x:row r="51" ht="22" customHeight="1">
      <x:c r="A51" s="129" t="n">
        <x:f>$A9</x:f>
        <x:v>0.3</x:v>
      </x:c>
      <x:c r="B51" s="112" t="n">
        <x:f>D$5</x:f>
        <x:v>150</x:v>
      </x:c>
      <x:c r="C51" s="85" t="n">
        <x:f>'01_Assumptions'!$B$11</x:f>
        <x:v>0.25</x:v>
      </x:c>
      <x:c r="D51" s="85" t="n">
        <x:f>'01_Assumptions'!$B$12</x:f>
        <x:v>0.25</x:v>
      </x:c>
      <x:c r="E51" s="85" t="n">
        <x:f>'01_Assumptions'!$B$13</x:f>
        <x:v>0.5</x:v>
      </x:c>
      <x:c r="F51" s="83" t="n">
        <x:f>'01_Assumptions'!$B$5*(1+A51)*'08_Transaction'!B10</x:f>
        <x:v>11160.190899</x:v>
      </x:c>
      <x:c r="G51" s="83" t="n">
        <x:f>F51+SUM('08_Transaction'!B12:B14)</x:f>
        <x:v>9995.262899</x:v>
      </x:c>
      <x:c r="H51" s="71" t="n">
        <x:f>F51*D51+'08_Transaction'!B12</x:f>
        <x:v>2790.04772475</x:v>
      </x:c>
      <x:c r="I51" s="71" t="n">
        <x:f>F51*C51+F51*'01_Assumptions'!$B$17+H51*'01_Assumptions'!$B$18</x:f>
        <x:v>2943.50034961125</x:v>
      </x:c>
      <x:c r="J51" s="71" t="n">
        <x:f>F51*E51/'01_Assumptions'!$B$6</x:f>
        <x:v>21.52565462909385</x:v>
      </x:c>
      <x:c r="K51" s="71" t="n">
        <x:f>G51*'01_Assumptions'!$B$22*('01_Assumptions'!$B$23/'01_Assumptions'!$B$26+'01_Assumptions'!$B$24/'01_Assumptions'!$B$27+'01_Assumptions'!$B$25/'01_Assumptions'!$B$28)</x:f>
        <x:v>489.767882051</x:v>
      </x:c>
      <x:c r="L51" s="71" t="n">
        <x:f>(B51*'01_Assumptions'!$B$35+'01_Assumptions'!$B$38*'01_Assumptions'!$B$35*'01_Assumptions'!$B$39-K51)*(1-'01_Assumptions'!$B$16)</x:f>
        <x:v>-259.922429769015</x:v>
      </x:c>
      <x:c r="M51" s="71" t="n">
        <x:f>(H51*'01_Assumptions'!$B$14+I51*'01_Assumptions'!$B$15+H51*'01_Assumptions'!$B$18/'01_Assumptions'!$B$19)*(1-'01_Assumptions'!$B$16*'01_Assumptions'!$B$63)</x:f>
        <x:v>235.20939333959927</x:v>
      </x:c>
      <x:c r="N51" s="72" t="n">
        <x:f>('03_CRM_Forecast'!E19+'05_GTLB_Forecast'!E19+L51-M51)/('03_CRM_Forecast'!E20+J51)/'03_CRM_Forecast'!E21-1</x:f>
        <x:v>-0.05890280081969246</x:v>
      </x:c>
      <x:c r="O51" s="71" t="n">
        <x:f>'09_Sources_Uses'!B27-I51</x:f>
        <x:v>1459.49965038875</x:v>
      </x:c>
    </x:row>
    <x:row r="52" ht="22" customHeight="1">
      <x:c r="A52" s="129" t="n">
        <x:f>$A9</x:f>
        <x:v>0.3</x:v>
      </x:c>
      <x:c r="B52" s="112" t="n">
        <x:f>E$5</x:f>
        <x:v>200</x:v>
      </x:c>
      <x:c r="C52" s="85" t="n">
        <x:f>'01_Assumptions'!$B$11</x:f>
        <x:v>0.25</x:v>
      </x:c>
      <x:c r="D52" s="85" t="n">
        <x:f>'01_Assumptions'!$B$12</x:f>
        <x:v>0.25</x:v>
      </x:c>
      <x:c r="E52" s="85" t="n">
        <x:f>'01_Assumptions'!$B$13</x:f>
        <x:v>0.5</x:v>
      </x:c>
      <x:c r="F52" s="83" t="n">
        <x:f>'01_Assumptions'!$B$5*(1+A52)*'08_Transaction'!B10</x:f>
        <x:v>11160.190899</x:v>
      </x:c>
      <x:c r="G52" s="83" t="n">
        <x:f>F52+SUM('08_Transaction'!B12:B14)</x:f>
        <x:v>9995.262899</x:v>
      </x:c>
      <x:c r="H52" s="71" t="n">
        <x:f>F52*D52+'08_Transaction'!B12</x:f>
        <x:v>2790.04772475</x:v>
      </x:c>
      <x:c r="I52" s="71" t="n">
        <x:f>F52*C52+F52*'01_Assumptions'!$B$17+H52*'01_Assumptions'!$B$18</x:f>
        <x:v>2943.50034961125</x:v>
      </x:c>
      <x:c r="J52" s="71" t="n">
        <x:f>F52*E52/'01_Assumptions'!$B$6</x:f>
        <x:v>21.52565462909385</x:v>
      </x:c>
      <x:c r="K52" s="71" t="n">
        <x:f>G52*'01_Assumptions'!$B$22*('01_Assumptions'!$B$23/'01_Assumptions'!$B$26+'01_Assumptions'!$B$24/'01_Assumptions'!$B$27+'01_Assumptions'!$B$25/'01_Assumptions'!$B$28)</x:f>
        <x:v>489.767882051</x:v>
      </x:c>
      <x:c r="L52" s="71" t="n">
        <x:f>(B52*'01_Assumptions'!$B$35+'01_Assumptions'!$B$38*'01_Assumptions'!$B$35*'01_Assumptions'!$B$39-K52)*(1-'01_Assumptions'!$B$16)</x:f>
        <x:v>-221.67242976901503</x:v>
      </x:c>
      <x:c r="M52" s="71" t="n">
        <x:f>(H52*'01_Assumptions'!$B$14+I52*'01_Assumptions'!$B$15+H52*'01_Assumptions'!$B$18/'01_Assumptions'!$B$19)*(1-'01_Assumptions'!$B$16*'01_Assumptions'!$B$63)</x:f>
        <x:v>235.20939333959927</x:v>
      </x:c>
      <x:c r="N52" s="72" t="n">
        <x:f>('03_CRM_Forecast'!E19+'05_GTLB_Forecast'!E19+L52-M52)/('03_CRM_Forecast'!E20+J52)/'03_CRM_Forecast'!E21-1</x:f>
        <x:v>-0.05509852141339033</x:v>
      </x:c>
      <x:c r="O52" s="71" t="n">
        <x:f>'09_Sources_Uses'!B27-I52</x:f>
        <x:v>1459.49965038875</x:v>
      </x:c>
    </x:row>
    <x:row r="53" ht="22" customHeight="1">
      <x:c r="A53" s="129" t="n">
        <x:f>$A9</x:f>
        <x:v>0.3</x:v>
      </x:c>
      <x:c r="B53" s="112" t="n">
        <x:f>F$5</x:f>
        <x:v>300</x:v>
      </x:c>
      <x:c r="C53" s="85" t="n">
        <x:f>'01_Assumptions'!$B$11</x:f>
        <x:v>0.25</x:v>
      </x:c>
      <x:c r="D53" s="85" t="n">
        <x:f>'01_Assumptions'!$B$12</x:f>
        <x:v>0.25</x:v>
      </x:c>
      <x:c r="E53" s="85" t="n">
        <x:f>'01_Assumptions'!$B$13</x:f>
        <x:v>0.5</x:v>
      </x:c>
      <x:c r="F53" s="83" t="n">
        <x:f>'01_Assumptions'!$B$5*(1+A53)*'08_Transaction'!B10</x:f>
        <x:v>11160.190899</x:v>
      </x:c>
      <x:c r="G53" s="83" t="n">
        <x:f>F53+SUM('08_Transaction'!B12:B14)</x:f>
        <x:v>9995.262899</x:v>
      </x:c>
      <x:c r="H53" s="71" t="n">
        <x:f>F53*D53+'08_Transaction'!B12</x:f>
        <x:v>2790.04772475</x:v>
      </x:c>
      <x:c r="I53" s="71" t="n">
        <x:f>F53*C53+F53*'01_Assumptions'!$B$17+H53*'01_Assumptions'!$B$18</x:f>
        <x:v>2943.50034961125</x:v>
      </x:c>
      <x:c r="J53" s="71" t="n">
        <x:f>F53*E53/'01_Assumptions'!$B$6</x:f>
        <x:v>21.52565462909385</x:v>
      </x:c>
      <x:c r="K53" s="71" t="n">
        <x:f>G53*'01_Assumptions'!$B$22*('01_Assumptions'!$B$23/'01_Assumptions'!$B$26+'01_Assumptions'!$B$24/'01_Assumptions'!$B$27+'01_Assumptions'!$B$25/'01_Assumptions'!$B$28)</x:f>
        <x:v>489.767882051</x:v>
      </x:c>
      <x:c r="L53" s="71" t="n">
        <x:f>(B53*'01_Assumptions'!$B$35+'01_Assumptions'!$B$38*'01_Assumptions'!$B$35*'01_Assumptions'!$B$39-K53)*(1-'01_Assumptions'!$B$16)</x:f>
        <x:v>-145.17242976901503</x:v>
      </x:c>
      <x:c r="M53" s="71" t="n">
        <x:f>(H53*'01_Assumptions'!$B$14+I53*'01_Assumptions'!$B$15+H53*'01_Assumptions'!$B$18/'01_Assumptions'!$B$19)*(1-'01_Assumptions'!$B$16*'01_Assumptions'!$B$63)</x:f>
        <x:v>235.20939333959927</x:v>
      </x:c>
      <x:c r="N53" s="72" t="n">
        <x:f>('03_CRM_Forecast'!E19+'05_GTLB_Forecast'!E19+L53-M53)/('03_CRM_Forecast'!E20+J53)/'03_CRM_Forecast'!E21-1</x:f>
        <x:v>-0.04748996260078597</x:v>
      </x:c>
      <x:c r="O53" s="71" t="n">
        <x:f>'09_Sources_Uses'!B27-I53</x:f>
        <x:v>1459.49965038875</x:v>
      </x:c>
    </x:row>
    <x:row r="54" ht="22" customHeight="1">
      <x:c r="A54" s="129" t="n">
        <x:f>$A10</x:f>
        <x:v>0.35</x:v>
      </x:c>
      <x:c r="B54" s="112" t="n">
        <x:f>B$5</x:f>
        <x:v>50</x:v>
      </x:c>
      <x:c r="C54" s="85" t="n">
        <x:f>'01_Assumptions'!$B$11</x:f>
        <x:v>0.25</x:v>
      </x:c>
      <x:c r="D54" s="85" t="n">
        <x:f>'01_Assumptions'!$B$12</x:f>
        <x:v>0.25</x:v>
      </x:c>
      <x:c r="E54" s="85" t="n">
        <x:f>'01_Assumptions'!$B$13</x:f>
        <x:v>0.5</x:v>
      </x:c>
      <x:c r="F54" s="83" t="n">
        <x:f>'01_Assumptions'!$B$5*(1+A54)*'08_Transaction'!B10</x:f>
        <x:v>11589.4290105</x:v>
      </x:c>
      <x:c r="G54" s="83" t="n">
        <x:f>F54+SUM('08_Transaction'!B12:B14)</x:f>
        <x:v>10424.5010105</x:v>
      </x:c>
      <x:c r="H54" s="71" t="n">
        <x:f>F54*D54+'08_Transaction'!B12</x:f>
        <x:v>2897.357252625</x:v>
      </x:c>
      <x:c r="I54" s="71" t="n">
        <x:f>F54*C54+F54*'01_Assumptions'!$B$17+H54*'01_Assumptions'!$B$18</x:f>
        <x:v>3056.711901519375</x:v>
      </x:c>
      <x:c r="J54" s="71" t="n">
        <x:f>F54*E54/'01_Assumptions'!$B$6</x:f>
        <x:v>22.35356442252054</x:v>
      </x:c>
      <x:c r="K54" s="71" t="n">
        <x:f>G54*'01_Assumptions'!$B$22*('01_Assumptions'!$B$23/'01_Assumptions'!$B$26+'01_Assumptions'!$B$24/'01_Assumptions'!$B$27+'01_Assumptions'!$B$25/'01_Assumptions'!$B$28)</x:f>
        <x:v>510.8005495145</x:v>
      </x:c>
      <x:c r="L54" s="71" t="n">
        <x:f>(B54*'01_Assumptions'!$B$35+'01_Assumptions'!$B$38*'01_Assumptions'!$B$35*'01_Assumptions'!$B$39-K54)*(1-'01_Assumptions'!$B$16)</x:f>
        <x:v>-352.51242037859254</x:v>
      </x:c>
      <x:c r="M54" s="71" t="n">
        <x:f>(H54*'01_Assumptions'!$B$14+I54*'01_Assumptions'!$B$15+H54*'01_Assumptions'!$B$18/'01_Assumptions'!$B$19)*(1-'01_Assumptions'!$B$16*'01_Assumptions'!$B$63)</x:f>
        <x:v>244.25590846804536</x:v>
      </x:c>
      <x:c r="N54" s="72" t="n">
        <x:f>('03_CRM_Forecast'!E19+'05_GTLB_Forecast'!E19+L54-M54)/('03_CRM_Forecast'!E20+J54)/'03_CRM_Forecast'!E21-1</x:f>
        <x:v>-0.06992101909405612</x:v>
      </x:c>
      <x:c r="O54" s="71" t="n">
        <x:f>'09_Sources_Uses'!B27-I54</x:f>
        <x:v>1346.2880984806252</x:v>
      </x:c>
    </x:row>
    <x:row r="55" ht="22" customHeight="1">
      <x:c r="A55" s="129" t="n">
        <x:f>$A10</x:f>
        <x:v>0.35</x:v>
      </x:c>
      <x:c r="B55" s="112" t="n">
        <x:f>C$5</x:f>
        <x:v>100</x:v>
      </x:c>
      <x:c r="C55" s="85" t="n">
        <x:f>'01_Assumptions'!$B$11</x:f>
        <x:v>0.25</x:v>
      </x:c>
      <x:c r="D55" s="85" t="n">
        <x:f>'01_Assumptions'!$B$12</x:f>
        <x:v>0.25</x:v>
      </x:c>
      <x:c r="E55" s="85" t="n">
        <x:f>'01_Assumptions'!$B$13</x:f>
        <x:v>0.5</x:v>
      </x:c>
      <x:c r="F55" s="83" t="n">
        <x:f>'01_Assumptions'!$B$5*(1+A55)*'08_Transaction'!B10</x:f>
        <x:v>11589.4290105</x:v>
      </x:c>
      <x:c r="G55" s="83" t="n">
        <x:f>F55+SUM('08_Transaction'!B12:B14)</x:f>
        <x:v>10424.5010105</x:v>
      </x:c>
      <x:c r="H55" s="71" t="n">
        <x:f>F55*D55+'08_Transaction'!B12</x:f>
        <x:v>2897.357252625</x:v>
      </x:c>
      <x:c r="I55" s="71" t="n">
        <x:f>F55*C55+F55*'01_Assumptions'!$B$17+H55*'01_Assumptions'!$B$18</x:f>
        <x:v>3056.711901519375</x:v>
      </x:c>
      <x:c r="J55" s="71" t="n">
        <x:f>F55*E55/'01_Assumptions'!$B$6</x:f>
        <x:v>22.35356442252054</x:v>
      </x:c>
      <x:c r="K55" s="71" t="n">
        <x:f>G55*'01_Assumptions'!$B$22*('01_Assumptions'!$B$23/'01_Assumptions'!$B$26+'01_Assumptions'!$B$24/'01_Assumptions'!$B$27+'01_Assumptions'!$B$25/'01_Assumptions'!$B$28)</x:f>
        <x:v>510.8005495145</x:v>
      </x:c>
      <x:c r="L55" s="71" t="n">
        <x:f>(B55*'01_Assumptions'!$B$35+'01_Assumptions'!$B$38*'01_Assumptions'!$B$35*'01_Assumptions'!$B$39-K55)*(1-'01_Assumptions'!$B$16)</x:f>
        <x:v>-314.26242037859254</x:v>
      </x:c>
      <x:c r="M55" s="71" t="n">
        <x:f>(H55*'01_Assumptions'!$B$14+I55*'01_Assumptions'!$B$15+H55*'01_Assumptions'!$B$18/'01_Assumptions'!$B$19)*(1-'01_Assumptions'!$B$16*'01_Assumptions'!$B$63)</x:f>
        <x:v>244.25590846804536</x:v>
      </x:c>
      <x:c r="N55" s="72" t="n">
        <x:f>('03_CRM_Forecast'!E19+'05_GTLB_Forecast'!E19+L55-M55)/('03_CRM_Forecast'!E20+J55)/'03_CRM_Forecast'!E21-1</x:f>
        <x:v>-0.06612045667238675</x:v>
      </x:c>
      <x:c r="O55" s="71" t="n">
        <x:f>'09_Sources_Uses'!B27-I55</x:f>
        <x:v>1346.2880984806252</x:v>
      </x:c>
    </x:row>
    <x:row r="56">
      <x:c r="A56" s="130" t="n">
        <x:f>$A10</x:f>
        <x:v>0.35</x:v>
      </x:c>
      <x:c r="B56" s="104" t="n">
        <x:f>D$5</x:f>
        <x:v>150</x:v>
      </x:c>
      <x:c r="C56" s="102" t="n">
        <x:f>'01_Assumptions'!$B$11</x:f>
        <x:v>0.25</x:v>
      </x:c>
      <x:c r="D56" s="102" t="n">
        <x:f>'01_Assumptions'!$B$12</x:f>
        <x:v>0.25</x:v>
      </x:c>
      <x:c r="E56" s="102" t="n">
        <x:f>'01_Assumptions'!$B$13</x:f>
        <x:v>0.5</x:v>
      </x:c>
      <x:c r="F56" s="105" t="n">
        <x:f>'01_Assumptions'!$B$5*(1+A56)*'08_Transaction'!B10</x:f>
        <x:v>11589.4290105</x:v>
      </x:c>
      <x:c r="G56" s="105" t="n">
        <x:f>F56+SUM('08_Transaction'!B12:B14)</x:f>
        <x:v>10424.5010105</x:v>
      </x:c>
      <x:c r="H56" s="71" t="n">
        <x:f>F56*D56+'08_Transaction'!B12</x:f>
        <x:v>2897.357252625</x:v>
      </x:c>
      <x:c r="I56" s="71" t="n">
        <x:f>F56*C56+F56*'01_Assumptions'!$B$17+H56*'01_Assumptions'!$B$18</x:f>
        <x:v>3056.711901519375</x:v>
      </x:c>
      <x:c r="J56" s="71" t="n">
        <x:f>F56*E56/'01_Assumptions'!$B$6</x:f>
        <x:v>22.35356442252054</x:v>
      </x:c>
      <x:c r="K56" s="71" t="n">
        <x:f>G56*'01_Assumptions'!$B$22*('01_Assumptions'!$B$23/'01_Assumptions'!$B$26+'01_Assumptions'!$B$24/'01_Assumptions'!$B$27+'01_Assumptions'!$B$25/'01_Assumptions'!$B$28)</x:f>
        <x:v>510.8005495145</x:v>
      </x:c>
      <x:c r="L56" s="71" t="n">
        <x:f>(B56*'01_Assumptions'!$B$35+'01_Assumptions'!$B$38*'01_Assumptions'!$B$35*'01_Assumptions'!$B$39-K56)*(1-'01_Assumptions'!$B$16)</x:f>
        <x:v>-276.0124203785925</x:v>
      </x:c>
      <x:c r="M56" s="71" t="n">
        <x:f>(H56*'01_Assumptions'!$B$14+I56*'01_Assumptions'!$B$15+H56*'01_Assumptions'!$B$18/'01_Assumptions'!$B$19)*(1-'01_Assumptions'!$B$16*'01_Assumptions'!$B$63)</x:f>
        <x:v>244.25590846804536</x:v>
      </x:c>
      <x:c r="N56" s="72" t="n">
        <x:f>('03_CRM_Forecast'!E19+'05_GTLB_Forecast'!E19+L56-M56)/('03_CRM_Forecast'!E20+J56)/'03_CRM_Forecast'!E21-1</x:f>
        <x:v>-0.062319894250717156</x:v>
      </x:c>
      <x:c r="O56" s="71" t="n">
        <x:f>'09_Sources_Uses'!B27-I56</x:f>
        <x:v>1346.2880984806252</x:v>
      </x:c>
    </x:row>
    <x:row r="57">
      <x:c r="A57" s="130" t="n">
        <x:f>$A10</x:f>
        <x:v>0.35</x:v>
      </x:c>
      <x:c r="B57" s="104" t="n">
        <x:f>E$5</x:f>
        <x:v>200</x:v>
      </x:c>
      <x:c r="C57" s="102" t="n">
        <x:f>'01_Assumptions'!$B$11</x:f>
        <x:v>0.25</x:v>
      </x:c>
      <x:c r="D57" s="102" t="n">
        <x:f>'01_Assumptions'!$B$12</x:f>
        <x:v>0.25</x:v>
      </x:c>
      <x:c r="E57" s="102" t="n">
        <x:f>'01_Assumptions'!$B$13</x:f>
        <x:v>0.5</x:v>
      </x:c>
      <x:c r="F57" s="105" t="n">
        <x:f>'01_Assumptions'!$B$5*(1+A57)*'08_Transaction'!B10</x:f>
        <x:v>11589.4290105</x:v>
      </x:c>
      <x:c r="G57" s="105" t="n">
        <x:f>F57+SUM('08_Transaction'!B12:B14)</x:f>
        <x:v>10424.5010105</x:v>
      </x:c>
      <x:c r="H57" s="71" t="n">
        <x:f>F57*D57+'08_Transaction'!B12</x:f>
        <x:v>2897.357252625</x:v>
      </x:c>
      <x:c r="I57" s="71" t="n">
        <x:f>F57*C57+F57*'01_Assumptions'!$B$17+H57*'01_Assumptions'!$B$18</x:f>
        <x:v>3056.711901519375</x:v>
      </x:c>
      <x:c r="J57" s="71" t="n">
        <x:f>F57*E57/'01_Assumptions'!$B$6</x:f>
        <x:v>22.35356442252054</x:v>
      </x:c>
      <x:c r="K57" s="71" t="n">
        <x:f>G57*'01_Assumptions'!$B$22*('01_Assumptions'!$B$23/'01_Assumptions'!$B$26+'01_Assumptions'!$B$24/'01_Assumptions'!$B$27+'01_Assumptions'!$B$25/'01_Assumptions'!$B$28)</x:f>
        <x:v>510.8005495145</x:v>
      </x:c>
      <x:c r="L57" s="71" t="n">
        <x:f>(B57*'01_Assumptions'!$B$35+'01_Assumptions'!$B$38*'01_Assumptions'!$B$35*'01_Assumptions'!$B$39-K57)*(1-'01_Assumptions'!$B$16)</x:f>
        <x:v>-237.7624203785925</x:v>
      </x:c>
      <x:c r="M57" s="71" t="n">
        <x:f>(H57*'01_Assumptions'!$B$14+I57*'01_Assumptions'!$B$15+H57*'01_Assumptions'!$B$18/'01_Assumptions'!$B$19)*(1-'01_Assumptions'!$B$16*'01_Assumptions'!$B$63)</x:f>
        <x:v>244.25590846804536</x:v>
      </x:c>
      <x:c r="N57" s="72" t="n">
        <x:f>('03_CRM_Forecast'!E19+'05_GTLB_Forecast'!E19+L57-M57)/('03_CRM_Forecast'!E20+J57)/'03_CRM_Forecast'!E21-1</x:f>
        <x:v>-0.05851933182904756</x:v>
      </x:c>
      <x:c r="O57" s="71" t="n">
        <x:f>'09_Sources_Uses'!B27-I57</x:f>
        <x:v>1346.2880984806252</x:v>
      </x:c>
    </x:row>
    <x:row r="58">
      <x:c r="A58" s="130" t="n">
        <x:f>$A10</x:f>
        <x:v>0.35</x:v>
      </x:c>
      <x:c r="B58" s="104" t="n">
        <x:f>F$5</x:f>
        <x:v>300</x:v>
      </x:c>
      <x:c r="C58" s="102" t="n">
        <x:f>'01_Assumptions'!$B$11</x:f>
        <x:v>0.25</x:v>
      </x:c>
      <x:c r="D58" s="102" t="n">
        <x:f>'01_Assumptions'!$B$12</x:f>
        <x:v>0.25</x:v>
      </x:c>
      <x:c r="E58" s="102" t="n">
        <x:f>'01_Assumptions'!$B$13</x:f>
        <x:v>0.5</x:v>
      </x:c>
      <x:c r="F58" s="105" t="n">
        <x:f>'01_Assumptions'!$B$5*(1+A58)*'08_Transaction'!B10</x:f>
        <x:v>11589.4290105</x:v>
      </x:c>
      <x:c r="G58" s="105" t="n">
        <x:f>F58+SUM('08_Transaction'!B12:B14)</x:f>
        <x:v>10424.5010105</x:v>
      </x:c>
      <x:c r="H58" s="71" t="n">
        <x:f>F58*D58+'08_Transaction'!B12</x:f>
        <x:v>2897.357252625</x:v>
      </x:c>
      <x:c r="I58" s="71" t="n">
        <x:f>F58*C58+F58*'01_Assumptions'!$B$17+H58*'01_Assumptions'!$B$18</x:f>
        <x:v>3056.711901519375</x:v>
      </x:c>
      <x:c r="J58" s="71" t="n">
        <x:f>F58*E58/'01_Assumptions'!$B$6</x:f>
        <x:v>22.35356442252054</x:v>
      </x:c>
      <x:c r="K58" s="71" t="n">
        <x:f>G58*'01_Assumptions'!$B$22*('01_Assumptions'!$B$23/'01_Assumptions'!$B$26+'01_Assumptions'!$B$24/'01_Assumptions'!$B$27+'01_Assumptions'!$B$25/'01_Assumptions'!$B$28)</x:f>
        <x:v>510.8005495145</x:v>
      </x:c>
      <x:c r="L58" s="71" t="n">
        <x:f>(B58*'01_Assumptions'!$B$35+'01_Assumptions'!$B$38*'01_Assumptions'!$B$35*'01_Assumptions'!$B$39-K58)*(1-'01_Assumptions'!$B$16)</x:f>
        <x:v>-161.2624203785925</x:v>
      </x:c>
      <x:c r="M58" s="71" t="n">
        <x:f>(H58*'01_Assumptions'!$B$14+I58*'01_Assumptions'!$B$15+H58*'01_Assumptions'!$B$18/'01_Assumptions'!$B$19)*(1-'01_Assumptions'!$B$16*'01_Assumptions'!$B$63)</x:f>
        <x:v>244.25590846804536</x:v>
      </x:c>
      <x:c r="N58" s="72" t="n">
        <x:f>('03_CRM_Forecast'!E19+'05_GTLB_Forecast'!E19+L58-M58)/('03_CRM_Forecast'!E20+J58)/'03_CRM_Forecast'!E21-1</x:f>
        <x:v>-0.05091820698570859</x:v>
      </x:c>
      <x:c r="O58" s="71" t="n">
        <x:f>'09_Sources_Uses'!B27-I58</x:f>
        <x:v>1346.2880984806252</x:v>
      </x:c>
    </x:row>
    <x:row r="59">
      <x:c r="A59" s="131" t="n">
        <x:f>'01_Assumptions'!$B$7</x:f>
        <x:v>0.25</x:v>
      </x:c>
      <x:c r="B59" s="105" t="n">
        <x:f>'11_Synergies'!D9</x:f>
        <x:v>99.64092000000002</x:v>
      </x:c>
      <x:c r="C59" s="133" t="n">
        <x:f>B15</x:f>
        <x:v>1</x:v>
      </x:c>
      <x:c r="D59" s="133" t="n">
        <x:f>C15</x:f>
        <x:v>0</x:v>
      </x:c>
      <x:c r="E59" s="133" t="n">
        <x:f>D15</x:f>
        <x:v>0</x:v>
      </x:c>
      <x:c r="F59" s="105" t="n">
        <x:f>'01_Assumptions'!$B$5*(1+A59)*'08_Transaction'!B10</x:f>
        <x:v>10730.952787499999</x:v>
      </x:c>
      <x:c r="G59" s="105" t="n">
        <x:f>F59+SUM('08_Transaction'!B12:B14)</x:f>
        <x:v>9566.024787499999</x:v>
      </x:c>
      <x:c r="H59" s="71" t="n">
        <x:f>F59*D59+'08_Transaction'!B12</x:f>
        <x:v>0</x:v>
      </x:c>
      <x:c r="I59" s="71" t="n">
        <x:f>F59*C59+F59*'01_Assumptions'!$B$17+H59*'01_Assumptions'!$B$18</x:f>
        <x:v>10838.262315375</x:v>
      </x:c>
      <x:c r="J59" s="71" t="n">
        <x:f>F59*E59/'01_Assumptions'!$B$6</x:f>
        <x:v>0</x:v>
      </x:c>
      <x:c r="K59" s="71" t="n">
        <x:f>G59*'01_Assumptions'!$B$22*('01_Assumptions'!$B$23/'01_Assumptions'!$B$26+'01_Assumptions'!$B$24/'01_Assumptions'!$B$27+'01_Assumptions'!$B$25/'01_Assumptions'!$B$28)</x:f>
        <x:v>468.73521458749997</x:v>
      </x:c>
      <x:c r="L59" s="71" t="n">
        <x:f>(B59*'01_Assumptions'!$B$35+'01_Assumptions'!$B$38*'01_Assumptions'!$B$35*'01_Assumptions'!$B$39-K59)*(1-'01_Assumptions'!$B$16)</x:f>
        <x:v>-282.35713535943745</x:v>
      </x:c>
      <x:c r="M59" s="71" t="n">
        <x:f>(H59*'01_Assumptions'!$B$14+I59*'01_Assumptions'!$B$15+H59*'01_Assumptions'!$B$18/'01_Assumptions'!$B$19)*(1-'01_Assumptions'!$B$16*'01_Assumptions'!$B$63)</x:f>
        <x:v>331.65082685047497</x:v>
      </x:c>
      <x:c r="N59" s="72" t="n">
        <x:f>('03_CRM_Forecast'!E19+'05_GTLB_Forecast'!E19+L59-M59)/('03_CRM_Forecast'!E20+J59)/'03_CRM_Forecast'!E21-1</x:f>
        <x:v>-0.04647967739716696</x:v>
      </x:c>
      <x:c r="O59" s="71" t="n">
        <x:f>'09_Sources_Uses'!B27-I59</x:f>
        <x:v>-6435.262315374999</x:v>
      </x:c>
    </x:row>
    <x:row r="60">
      <x:c r="A60" s="131" t="n">
        <x:f>'01_Assumptions'!$B$7</x:f>
        <x:v>0.25</x:v>
      </x:c>
      <x:c r="B60" s="105" t="n">
        <x:f>'11_Synergies'!D9</x:f>
        <x:v>99.64092000000002</x:v>
      </x:c>
      <x:c r="C60" s="133" t="n">
        <x:f>B16</x:f>
        <x:v>0.75</x:v>
      </x:c>
      <x:c r="D60" s="133" t="n">
        <x:f>C16</x:f>
        <x:v>0.25</x:v>
      </x:c>
      <x:c r="E60" s="133" t="n">
        <x:f>D16</x:f>
        <x:v>0</x:v>
      </x:c>
      <x:c r="F60" s="105" t="n">
        <x:f>'01_Assumptions'!$B$5*(1+A60)*'08_Transaction'!B10</x:f>
        <x:v>10730.952787499999</x:v>
      </x:c>
      <x:c r="G60" s="105" t="n">
        <x:f>F60+SUM('08_Transaction'!B12:B14)</x:f>
        <x:v>9566.024787499999</x:v>
      </x:c>
      <x:c r="H60" s="71" t="n">
        <x:f>F60*D60+'08_Transaction'!B12</x:f>
        <x:v>2682.7381968749996</x:v>
      </x:c>
      <x:c r="I60" s="71" t="n">
        <x:f>F60*C60+F60*'01_Assumptions'!$B$17+H60*'01_Assumptions'!$B$18</x:f>
        <x:v>8195.765191453123</x:v>
      </x:c>
      <x:c r="J60" s="71" t="n">
        <x:f>F60*E60/'01_Assumptions'!$B$6</x:f>
        <x:v>0</x:v>
      </x:c>
      <x:c r="K60" s="71" t="n">
        <x:f>G60*'01_Assumptions'!$B$22*('01_Assumptions'!$B$23/'01_Assumptions'!$B$26+'01_Assumptions'!$B$24/'01_Assumptions'!$B$27+'01_Assumptions'!$B$25/'01_Assumptions'!$B$28)</x:f>
        <x:v>468.73521458749997</x:v>
      </x:c>
      <x:c r="L60" s="71" t="n">
        <x:f>(B60*'01_Assumptions'!$B$35+'01_Assumptions'!$B$38*'01_Assumptions'!$B$35*'01_Assumptions'!$B$39-K60)*(1-'01_Assumptions'!$B$16)</x:f>
        <x:v>-282.35713535943745</x:v>
      </x:c>
      <x:c r="M60" s="71" t="n">
        <x:f>(H60*'01_Assumptions'!$B$14+I60*'01_Assumptions'!$B$15+H60*'01_Assumptions'!$B$18/'01_Assumptions'!$B$19)*(1-'01_Assumptions'!$B$16*'01_Assumptions'!$B$63)</x:f>
        <x:v>390.3464558599031</x:v>
      </x:c>
      <x:c r="N60" s="72" t="n">
        <x:f>('03_CRM_Forecast'!E19+'05_GTLB_Forecast'!E19+L60-M60)/('03_CRM_Forecast'!E20+J60)/'03_CRM_Forecast'!E21-1</x:f>
        <x:v>-0.0524697612732139</x:v>
      </x:c>
      <x:c r="O60" s="71" t="n">
        <x:f>'09_Sources_Uses'!B27-I60</x:f>
        <x:v>-3792.7651914531234</x:v>
      </x:c>
    </x:row>
    <x:row r="61">
      <x:c r="A61" s="131" t="n">
        <x:f>'01_Assumptions'!$B$7</x:f>
        <x:v>0.25</x:v>
      </x:c>
      <x:c r="B61" s="105" t="n">
        <x:f>'11_Synergies'!D9</x:f>
        <x:v>99.64092000000002</x:v>
      </x:c>
      <x:c r="C61" s="133" t="n">
        <x:f>B17</x:f>
        <x:v>0.5</x:v>
      </x:c>
      <x:c r="D61" s="133" t="n">
        <x:f>C17</x:f>
        <x:v>0.5</x:v>
      </x:c>
      <x:c r="E61" s="133" t="n">
        <x:f>D17</x:f>
        <x:v>0</x:v>
      </x:c>
      <x:c r="F61" s="105" t="n">
        <x:f>'01_Assumptions'!$B$5*(1+A61)*'08_Transaction'!B10</x:f>
        <x:v>10730.952787499999</x:v>
      </x:c>
      <x:c r="G61" s="105" t="n">
        <x:f>F61+SUM('08_Transaction'!B12:B14)</x:f>
        <x:v>9566.024787499999</x:v>
      </x:c>
      <x:c r="H61" s="71" t="n">
        <x:f>F61*D61+'08_Transaction'!B12</x:f>
        <x:v>5365.476393749999</x:v>
      </x:c>
      <x:c r="I61" s="71" t="n">
        <x:f>F61*C61+F61*'01_Assumptions'!$B$17+H61*'01_Assumptions'!$B$18</x:f>
        <x:v>5553.268067531249</x:v>
      </x:c>
      <x:c r="J61" s="71" t="n">
        <x:f>F61*E61/'01_Assumptions'!$B$6</x:f>
        <x:v>0</x:v>
      </x:c>
      <x:c r="K61" s="71" t="n">
        <x:f>G61*'01_Assumptions'!$B$22*('01_Assumptions'!$B$23/'01_Assumptions'!$B$26+'01_Assumptions'!$B$24/'01_Assumptions'!$B$27+'01_Assumptions'!$B$25/'01_Assumptions'!$B$28)</x:f>
        <x:v>468.73521458749997</x:v>
      </x:c>
      <x:c r="L61" s="71" t="n">
        <x:f>(B61*'01_Assumptions'!$B$35+'01_Assumptions'!$B$38*'01_Assumptions'!$B$35*'01_Assumptions'!$B$39-K61)*(1-'01_Assumptions'!$B$16)</x:f>
        <x:v>-282.35713535943745</x:v>
      </x:c>
      <x:c r="M61" s="71" t="n">
        <x:f>(H61*'01_Assumptions'!$B$14+I61*'01_Assumptions'!$B$15+H61*'01_Assumptions'!$B$18/'01_Assumptions'!$B$19)*(1-'01_Assumptions'!$B$16*'01_Assumptions'!$B$63)</x:f>
        <x:v>449.0420848693311</x:v>
      </x:c>
      <x:c r="N61" s="72" t="n">
        <x:f>('03_CRM_Forecast'!E19+'05_GTLB_Forecast'!E19+L61-M61)/('03_CRM_Forecast'!E20+J61)/'03_CRM_Forecast'!E21-1</x:f>
        <x:v>-0.0584598451492605</x:v>
      </x:c>
      <x:c r="O61" s="71" t="n">
        <x:f>'09_Sources_Uses'!B27-I61</x:f>
        <x:v>-1150.2680675312486</x:v>
      </x:c>
    </x:row>
    <x:row r="62">
      <x:c r="A62" s="131" t="n">
        <x:f>'01_Assumptions'!$B$7</x:f>
        <x:v>0.25</x:v>
      </x:c>
      <x:c r="B62" s="105" t="n">
        <x:f>'11_Synergies'!D9</x:f>
        <x:v>99.64092000000002</x:v>
      </x:c>
      <x:c r="C62" s="133" t="n">
        <x:f>B18</x:f>
        <x:v>0.5</x:v>
      </x:c>
      <x:c r="D62" s="133" t="n">
        <x:f>C18</x:f>
        <x:v>0.25</x:v>
      </x:c>
      <x:c r="E62" s="133" t="n">
        <x:f>D18</x:f>
        <x:v>0.25</x:v>
      </x:c>
      <x:c r="F62" s="105" t="n">
        <x:f>'01_Assumptions'!$B$5*(1+A62)*'08_Transaction'!B10</x:f>
        <x:v>10730.952787499999</x:v>
      </x:c>
      <x:c r="G62" s="105" t="n">
        <x:f>F62+SUM('08_Transaction'!B12:B14)</x:f>
        <x:v>9566.024787499999</x:v>
      </x:c>
      <x:c r="H62" s="71" t="n">
        <x:f>F62*D62+'08_Transaction'!B12</x:f>
        <x:v>2682.7381968749996</x:v>
      </x:c>
      <x:c r="I62" s="71" t="n">
        <x:f>F62*C62+F62*'01_Assumptions'!$B$17+H62*'01_Assumptions'!$B$18</x:f>
        <x:v>5513.026994578124</x:v>
      </x:c>
      <x:c r="J62" s="71" t="n">
        <x:f>F62*E62/'01_Assumptions'!$B$6</x:f>
        <x:v>10.348872417833581</x:v>
      </x:c>
      <x:c r="K62" s="71" t="n">
        <x:f>G62*'01_Assumptions'!$B$22*('01_Assumptions'!$B$23/'01_Assumptions'!$B$26+'01_Assumptions'!$B$24/'01_Assumptions'!$B$27+'01_Assumptions'!$B$25/'01_Assumptions'!$B$28)</x:f>
        <x:v>468.73521458749997</x:v>
      </x:c>
      <x:c r="L62" s="71" t="n">
        <x:f>(B62*'01_Assumptions'!$B$35+'01_Assumptions'!$B$38*'01_Assumptions'!$B$35*'01_Assumptions'!$B$39-K62)*(1-'01_Assumptions'!$B$16)</x:f>
        <x:v>-282.35713535943745</x:v>
      </x:c>
      <x:c r="M62" s="71" t="n">
        <x:f>(H62*'01_Assumptions'!$B$14+I62*'01_Assumptions'!$B$15+H62*'01_Assumptions'!$B$18/'01_Assumptions'!$B$19)*(1-'01_Assumptions'!$B$16*'01_Assumptions'!$B$63)</x:f>
        <x:v>308.2546670355281</x:v>
      </x:c>
      <x:c r="N62" s="72" t="n">
        <x:f>('03_CRM_Forecast'!E19+'05_GTLB_Forecast'!E19+L62-M62)/('03_CRM_Forecast'!E20+J62)/'03_CRM_Forecast'!E21-1</x:f>
        <x:v>-0.05593446255742507</x:v>
      </x:c>
      <x:c r="O62" s="71" t="n">
        <x:f>'09_Sources_Uses'!B27-I62</x:f>
        <x:v>-1110.0269945781238</x:v>
      </x:c>
    </x:row>
    <x:row r="63">
      <x:c r="A63" s="131" t="n">
        <x:f>'01_Assumptions'!$B$7</x:f>
        <x:v>0.25</x:v>
      </x:c>
      <x:c r="B63" s="105" t="n">
        <x:f>'11_Synergies'!D9</x:f>
        <x:v>99.64092000000002</x:v>
      </x:c>
      <x:c r="C63" s="133" t="n">
        <x:f>B19</x:f>
        <x:v>0.25</x:v>
      </x:c>
      <x:c r="D63" s="133" t="n">
        <x:f>C19</x:f>
        <x:v>0.25</x:v>
      </x:c>
      <x:c r="E63" s="133" t="n">
        <x:f>D19</x:f>
        <x:v>0.5</x:v>
      </x:c>
      <x:c r="F63" s="105" t="n">
        <x:f>'01_Assumptions'!$B$5*(1+A63)*'08_Transaction'!B10</x:f>
        <x:v>10730.952787499999</x:v>
      </x:c>
      <x:c r="G63" s="105" t="n">
        <x:f>F63+SUM('08_Transaction'!B12:B14)</x:f>
        <x:v>9566.024787499999</x:v>
      </x:c>
      <x:c r="H63" s="71" t="n">
        <x:f>F63*D63+'08_Transaction'!B12</x:f>
        <x:v>2682.7381968749996</x:v>
      </x:c>
      <x:c r="I63" s="71" t="n">
        <x:f>F63*C63+F63*'01_Assumptions'!$B$17+H63*'01_Assumptions'!$B$18</x:f>
        <x:v>2830.2887977031246</x:v>
      </x:c>
      <x:c r="J63" s="71" t="n">
        <x:f>F63*E63/'01_Assumptions'!$B$6</x:f>
        <x:v>20.697744835667162</x:v>
      </x:c>
      <x:c r="K63" s="71" t="n">
        <x:f>G63*'01_Assumptions'!$B$22*('01_Assumptions'!$B$23/'01_Assumptions'!$B$26+'01_Assumptions'!$B$24/'01_Assumptions'!$B$27+'01_Assumptions'!$B$25/'01_Assumptions'!$B$28)</x:f>
        <x:v>468.73521458749997</x:v>
      </x:c>
      <x:c r="L63" s="71" t="n">
        <x:f>(B63*'01_Assumptions'!$B$35+'01_Assumptions'!$B$38*'01_Assumptions'!$B$35*'01_Assumptions'!$B$39-K63)*(1-'01_Assumptions'!$B$16)</x:f>
        <x:v>-282.35713535943745</x:v>
      </x:c>
      <x:c r="M63" s="71" t="n">
        <x:f>(H63*'01_Assumptions'!$B$14+I63*'01_Assumptions'!$B$15+H63*'01_Assumptions'!$B$18/'01_Assumptions'!$B$19)*(1-'01_Assumptions'!$B$16*'01_Assumptions'!$B$63)</x:f>
        <x:v>226.16287821115313</x:v>
      </x:c>
      <x:c r="N63" s="72" t="n">
        <x:f>('03_CRM_Forecast'!E19+'05_GTLB_Forecast'!E19+L63-M63)/('03_CRM_Forecast'!E20+J63)/'03_CRM_Forecast'!E21-1</x:f>
        <x:v>-0.059314368176104026</x:v>
      </x:c>
      <x:c r="O63" s="71" t="n">
        <x:f>'09_Sources_Uses'!B27-I63</x:f>
        <x:v>1572.7112022968754</x:v>
      </x:c>
    </x:row>
    <x:row r="64">
      <x:c r="A64" s="131" t="n">
        <x:f>'01_Assumptions'!$B$7</x:f>
        <x:v>0.25</x:v>
      </x:c>
      <x:c r="B64" s="105" t="n">
        <x:f>'11_Synergies'!D9</x:f>
        <x:v>99.64092000000002</x:v>
      </x:c>
      <x:c r="C64" s="133" t="n">
        <x:f>B20</x:f>
        <x:v>0</x:v>
      </x:c>
      <x:c r="D64" s="133" t="n">
        <x:f>C20</x:f>
        <x:v>0</x:v>
      </x:c>
      <x:c r="E64" s="133" t="n">
        <x:f>D20</x:f>
        <x:v>1</x:v>
      </x:c>
      <x:c r="F64" s="105" t="n">
        <x:f>'01_Assumptions'!$B$5*(1+A64)*'08_Transaction'!B10</x:f>
        <x:v>10730.952787499999</x:v>
      </x:c>
      <x:c r="G64" s="105" t="n">
        <x:f>F64+SUM('08_Transaction'!B12:B14)</x:f>
        <x:v>9566.024787499999</x:v>
      </x:c>
      <x:c r="H64" s="71" t="n">
        <x:f>F64*D64+'08_Transaction'!B12</x:f>
        <x:v>0</x:v>
      </x:c>
      <x:c r="I64" s="71" t="n">
        <x:f>F64*C64+F64*'01_Assumptions'!$B$17+H64*'01_Assumptions'!$B$18</x:f>
        <x:v>107.30952787499999</x:v>
      </x:c>
      <x:c r="J64" s="71" t="n">
        <x:f>F64*E64/'01_Assumptions'!$B$6</x:f>
        <x:v>41.395489671334325</x:v>
      </x:c>
      <x:c r="K64" s="71" t="n">
        <x:f>G64*'01_Assumptions'!$B$22*('01_Assumptions'!$B$23/'01_Assumptions'!$B$26+'01_Assumptions'!$B$24/'01_Assumptions'!$B$27+'01_Assumptions'!$B$25/'01_Assumptions'!$B$28)</x:f>
        <x:v>468.73521458749997</x:v>
      </x:c>
      <x:c r="L64" s="71" t="n">
        <x:f>(B64*'01_Assumptions'!$B$35+'01_Assumptions'!$B$38*'01_Assumptions'!$B$35*'01_Assumptions'!$B$39-K64)*(1-'01_Assumptions'!$B$16)</x:f>
        <x:v>-282.35713535943745</x:v>
      </x:c>
      <x:c r="M64" s="71" t="n">
        <x:f>(H64*'01_Assumptions'!$B$14+I64*'01_Assumptions'!$B$15+H64*'01_Assumptions'!$B$18/'01_Assumptions'!$B$19)*(1-'01_Assumptions'!$B$16*'01_Assumptions'!$B$63)</x:f>
        <x:v>3.2836715529749996</x:v>
      </x:c>
      <x:c r="N64" s="72" t="n">
        <x:f>('03_CRM_Forecast'!E19+'05_GTLB_Forecast'!E19+L64-M64)/('03_CRM_Forecast'!E20+J64)/'03_CRM_Forecast'!E21-1</x:f>
        <x:v>-0.06012806296739748</x:v>
      </x:c>
      <x:c r="O64" s="71" t="n">
        <x:f>'09_Sources_Uses'!B27-I64</x:f>
        <x:v>4295.690472125</x:v>
      </x:c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132" t="n">
        <x:f>'01_Assumptions'!$B$7</x:f>
        <x:v>0.25</x:v>
      </x:c>
      <x:c r="B66" s="105" t="n">
        <x:f>'11_Synergies'!D9</x:f>
        <x:v>99.64092000000002</x:v>
      </x:c>
      <x:c r="C66" s="105" t="n">
        <x:f>'01_Assumptions'!$B$11</x:f>
        <x:v>0.25</x:v>
      </x:c>
      <x:c r="D66" s="105" t="n">
        <x:f>'01_Assumptions'!$B$12</x:f>
        <x:v>0.25</x:v>
      </x:c>
      <x:c r="E66" s="105" t="n">
        <x:f>'01_Assumptions'!$B$13</x:f>
        <x:v>0.5</x:v>
      </x:c>
      <x:c r="F66" s="105" t="n">
        <x:f>'01_Assumptions'!$B$5*(1+A66)*'08_Transaction'!B10</x:f>
        <x:v>10730.952787499999</x:v>
      </x:c>
      <x:c r="G66" s="105" t="n">
        <x:f>F66+SUM('08_Transaction'!B12:B14)</x:f>
        <x:v>9566.024787499999</x:v>
      </x:c>
      <x:c r="H66" s="71" t="n">
        <x:f>F66*D66+'08_Transaction'!B12</x:f>
        <x:v>2682.7381968749996</x:v>
      </x:c>
      <x:c r="I66" s="71" t="n">
        <x:f>F66*C66+F66*'01_Assumptions'!$B$17+H66*'01_Assumptions'!$B$18</x:f>
        <x:v>2830.2887977031246</x:v>
      </x:c>
      <x:c r="J66" s="71" t="n">
        <x:f>F66*E66/'01_Assumptions'!$B$6</x:f>
        <x:v>20.697744835667162</x:v>
      </x:c>
      <x:c r="K66" s="71" t="n">
        <x:f>G66*'01_Assumptions'!$B$22*('01_Assumptions'!$B$23/'01_Assumptions'!$B$26+'01_Assumptions'!$B$24/'01_Assumptions'!$B$27+'01_Assumptions'!$B$25/'01_Assumptions'!$B$28)</x:f>
        <x:v>468.73521458749997</x:v>
      </x:c>
      <x:c r="L66" s="71" t="n">
        <x:f>(B66*'01_Assumptions'!$B$35+'01_Assumptions'!$B$38*'01_Assumptions'!$B$35*'01_Assumptions'!$B$39-K66)*(1-'01_Assumptions'!$B$16)</x:f>
        <x:v>-282.35713535943745</x:v>
      </x:c>
      <x:c r="M66" s="71" t="n">
        <x:f>(H66*'01_Assumptions'!$B$14+I66*'01_Assumptions'!$B$15+H66*'01_Assumptions'!$B$18/'01_Assumptions'!$B$19)*(1-'01_Assumptions'!$B$16*'01_Assumptions'!$B$63)</x:f>
        <x:v>226.16287821115313</x:v>
      </x:c>
      <x:c r="N66" s="71" t="n">
        <x:f>('03_CRM_Forecast'!E19+'05_GTLB_Forecast'!E19+L66-M66)/('03_CRM_Forecast'!E20+J66)/'03_CRM_Forecast'!E21-1</x:f>
        <x:v>-0.059314368176104026</x:v>
      </x:c>
      <x:c r="O66" s="71" t="n">
        <x:f>'09_Sources_Uses'!B27-I66</x:f>
        <x:v>1572.7112022968754</x:v>
      </x:c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 ht="26" customHeight="1">
      <x:c r="A69" s="90" t="str">
        <x:v>DCF VALUE / SHARE | WACC VS TERMINAL GROWTH</x:v>
      </x:c>
      <x:c r="B69" s="101"/>
      <x:c r="C69" s="101"/>
      <x:c r="D69" s="101"/>
      <x:c r="E69" s="101"/>
      <x:c r="F69" s="101"/>
      <x:c r="G69" s="101"/>
    </x:row>
    <x:row r="70">
      <x:c r="A70" s="79" t="str">
        <x:v>WACC / terminal growth</x:v>
      </x:c>
      <x:c r="B70" s="102" t="n">
        <x:f>'01_Assumptions'!$B$41+(0-2)*'01_Assumptions'!$B$107</x:f>
        <x:v>0.015000000000000001</x:v>
      </x:c>
      <x:c r="C70" s="102" t="n">
        <x:f>'01_Assumptions'!$B$41+(1-2)*'01_Assumptions'!$B$107</x:f>
        <x:v>0.02</x:v>
      </x:c>
      <x:c r="D70" s="102" t="n">
        <x:f>'01_Assumptions'!$B$41+(2-2)*'01_Assumptions'!$B$107</x:f>
        <x:v>0.025</x:v>
      </x:c>
      <x:c r="E70" s="102" t="n">
        <x:f>'01_Assumptions'!$B$41+(3-2)*'01_Assumptions'!$B$107</x:f>
        <x:v>0.030000000000000002</x:v>
      </x:c>
      <x:c r="F70" s="102" t="n">
        <x:f>'01_Assumptions'!$B$41+(4-2)*'01_Assumptions'!$B$107</x:f>
        <x:v>0.035</x:v>
      </x:c>
      <x:c r="G70" s="86"/>
    </x:row>
    <x:row r="71">
      <x:c r="A71" s="131" t="n">
        <x:f>'01_Assumptions'!$B$40+(0-2)*'01_Assumptions'!$B$106</x:f>
        <x:v>0.095</x:v>
      </x:c>
      <x:c r="B71" s="134" t="n">
        <x:f>('07_Valuation_DCF'!B14/(1+$A71)^'07_Valuation_DCF'!B15+'07_Valuation_DCF'!C14/(1+$A71)^'07_Valuation_DCF'!C15+'07_Valuation_DCF'!D14/(1+$A71)^'07_Valuation_DCF'!D15+'07_Valuation_DCF'!E14/(1+$A71)^'07_Valuation_DCF'!E15+'07_Valuation_DCF'!F14/(1+$A71)^'07_Valuation_DCF'!F15+'07_Valuation_DCF'!G14/(1+$A71)^'07_Valuation_DCF'!G15+('07_Valuation_DCF'!G6*(1+B$70)*(1-'01_Assumptions'!$B$16)+('07_Valuation_DCF'!G9-'07_Valuation_DCF'!G10)*(1+B$70)-'05_GTLB_Forecast'!G24*'07_Valuation_DCF'!G5*B$70)/($A71-B$70)/(1+$A71)^'07_Valuation_DCF'!G15+'07_Valuation_DCF'!B25)/'08_Transaction'!B10</x:f>
        <x:v>22.863606584327382</x:v>
      </x:c>
      <x:c r="C71" s="134" t="n">
        <x:f>('07_Valuation_DCF'!B14/(1+$A71)^'07_Valuation_DCF'!B15+'07_Valuation_DCF'!C14/(1+$A71)^'07_Valuation_DCF'!C15+'07_Valuation_DCF'!D14/(1+$A71)^'07_Valuation_DCF'!D15+'07_Valuation_DCF'!E14/(1+$A71)^'07_Valuation_DCF'!E15+'07_Valuation_DCF'!F14/(1+$A71)^'07_Valuation_DCF'!F15+'07_Valuation_DCF'!G14/(1+$A71)^'07_Valuation_DCF'!G15+('07_Valuation_DCF'!G6*(1+C$70)*(1-'01_Assumptions'!$B$16)+('07_Valuation_DCF'!G9-'07_Valuation_DCF'!G10)*(1+C$70)-'05_GTLB_Forecast'!G24*'07_Valuation_DCF'!G5*C$70)/($A71-C$70)/(1+$A71)^'07_Valuation_DCF'!G15+'07_Valuation_DCF'!B25)/'08_Transaction'!B10</x:f>
        <x:v>23.904569491813675</x:v>
      </x:c>
      <x:c r="D71" s="134" t="n">
        <x:f>('07_Valuation_DCF'!B14/(1+$A71)^'07_Valuation_DCF'!B15+'07_Valuation_DCF'!C14/(1+$A71)^'07_Valuation_DCF'!C15+'07_Valuation_DCF'!D14/(1+$A71)^'07_Valuation_DCF'!D15+'07_Valuation_DCF'!E14/(1+$A71)^'07_Valuation_DCF'!E15+'07_Valuation_DCF'!F14/(1+$A71)^'07_Valuation_DCF'!F15+'07_Valuation_DCF'!G14/(1+$A71)^'07_Valuation_DCF'!G15+('07_Valuation_DCF'!G6*(1+D$70)*(1-'01_Assumptions'!$B$16)+('07_Valuation_DCF'!G9-'07_Valuation_DCF'!G10)*(1+D$70)-'05_GTLB_Forecast'!G24*'07_Valuation_DCF'!G5*D$70)/($A71-D$70)/(1+$A71)^'07_Valuation_DCF'!G15+'07_Valuation_DCF'!B25)/'08_Transaction'!B10</x:f>
        <x:v>25.094241386083716</x:v>
      </x:c>
      <x:c r="E71" s="134" t="n">
        <x:f>('07_Valuation_DCF'!B14/(1+$A71)^'07_Valuation_DCF'!B15+'07_Valuation_DCF'!C14/(1+$A71)^'07_Valuation_DCF'!C15+'07_Valuation_DCF'!D14/(1+$A71)^'07_Valuation_DCF'!D15+'07_Valuation_DCF'!E14/(1+$A71)^'07_Valuation_DCF'!E15+'07_Valuation_DCF'!F14/(1+$A71)^'07_Valuation_DCF'!F15+'07_Valuation_DCF'!G14/(1+$A71)^'07_Valuation_DCF'!G15+('07_Valuation_DCF'!G6*(1+E$70)*(1-'01_Assumptions'!$B$16)+('07_Valuation_DCF'!G9-'07_Valuation_DCF'!G10)*(1+E$70)-'05_GTLB_Forecast'!G24*'07_Valuation_DCF'!G5*E$70)/($A71-E$70)/(1+$A71)^'07_Valuation_DCF'!G15+'07_Valuation_DCF'!B25)/'08_Transaction'!B10</x:f>
        <x:v>26.46693972562608</x:v>
      </x:c>
      <x:c r="F71" s="134" t="n">
        <x:f>('07_Valuation_DCF'!B14/(1+$A71)^'07_Valuation_DCF'!B15+'07_Valuation_DCF'!C14/(1+$A71)^'07_Valuation_DCF'!C15+'07_Valuation_DCF'!D14/(1+$A71)^'07_Valuation_DCF'!D15+'07_Valuation_DCF'!E14/(1+$A71)^'07_Valuation_DCF'!E15+'07_Valuation_DCF'!F14/(1+$A71)^'07_Valuation_DCF'!F15+'07_Valuation_DCF'!G14/(1+$A71)^'07_Valuation_DCF'!G15+('07_Valuation_DCF'!G6*(1+F$70)*(1-'01_Assumptions'!$B$16)+('07_Valuation_DCF'!G9-'07_Valuation_DCF'!G10)*(1+F$70)-'05_GTLB_Forecast'!G24*'07_Valuation_DCF'!G5*F$70)/($A71-F$70)/(1+$A71)^'07_Valuation_DCF'!G15+'07_Valuation_DCF'!B25)/'08_Transaction'!B10</x:f>
        <x:v>28.068421121758835</x:v>
      </x:c>
      <x:c r="G71" s="86"/>
    </x:row>
    <x:row r="72">
      <x:c r="A72" s="131" t="n">
        <x:f>'01_Assumptions'!$B$40+(1-2)*'01_Assumptions'!$B$106</x:f>
        <x:v>0.10500000000000001</x:v>
      </x:c>
      <x:c r="B72" s="134" t="n">
        <x:f>('07_Valuation_DCF'!B14/(1+$A72)^'07_Valuation_DCF'!B15+'07_Valuation_DCF'!C14/(1+$A72)^'07_Valuation_DCF'!C15+'07_Valuation_DCF'!D14/(1+$A72)^'07_Valuation_DCF'!D15+'07_Valuation_DCF'!E14/(1+$A72)^'07_Valuation_DCF'!E15+'07_Valuation_DCF'!F14/(1+$A72)^'07_Valuation_DCF'!F15+'07_Valuation_DCF'!G14/(1+$A72)^'07_Valuation_DCF'!G15+('07_Valuation_DCF'!G6*(1+B$70)*(1-'01_Assumptions'!$B$16)+('07_Valuation_DCF'!G9-'07_Valuation_DCF'!G10)*(1+B$70)-'05_GTLB_Forecast'!G24*'07_Valuation_DCF'!G5*B$70)/($A72-B$70)/(1+$A72)^'07_Valuation_DCF'!G15+'07_Valuation_DCF'!B25)/'08_Transaction'!B10</x:f>
        <x:v>20.712146678009816</x:v>
      </x:c>
      <x:c r="C72" s="134" t="n">
        <x:f>('07_Valuation_DCF'!B14/(1+$A72)^'07_Valuation_DCF'!B15+'07_Valuation_DCF'!C14/(1+$A72)^'07_Valuation_DCF'!C15+'07_Valuation_DCF'!D14/(1+$A72)^'07_Valuation_DCF'!D15+'07_Valuation_DCF'!E14/(1+$A72)^'07_Valuation_DCF'!E15+'07_Valuation_DCF'!F14/(1+$A72)^'07_Valuation_DCF'!F15+'07_Valuation_DCF'!G14/(1+$A72)^'07_Valuation_DCF'!G15+('07_Valuation_DCF'!G6*(1+C$70)*(1-'01_Assumptions'!$B$16)+('07_Valuation_DCF'!G9-'07_Valuation_DCF'!G10)*(1+C$70)-'05_GTLB_Forecast'!G24*'07_Valuation_DCF'!G5*C$70)/($A72-C$70)/(1+$A72)^'07_Valuation_DCF'!G15+'07_Valuation_DCF'!B25)/'08_Transaction'!B10</x:f>
        <x:v>21.50441818215138</x:v>
      </x:c>
      <x:c r="D72" s="134" t="n">
        <x:f>('07_Valuation_DCF'!B14/(1+$A72)^'07_Valuation_DCF'!B15+'07_Valuation_DCF'!C14/(1+$A72)^'07_Valuation_DCF'!C15+'07_Valuation_DCF'!D14/(1+$A72)^'07_Valuation_DCF'!D15+'07_Valuation_DCF'!E14/(1+$A72)^'07_Valuation_DCF'!E15+'07_Valuation_DCF'!F14/(1+$A72)^'07_Valuation_DCF'!F15+'07_Valuation_DCF'!G14/(1+$A72)^'07_Valuation_DCF'!G15+('07_Valuation_DCF'!G6*(1+D$70)*(1-'01_Assumptions'!$B$16)+('07_Valuation_DCF'!G9-'07_Valuation_DCF'!G10)*(1+D$70)-'05_GTLB_Forecast'!G24*'07_Valuation_DCF'!G5*D$70)/($A72-D$70)/(1+$A72)^'07_Valuation_DCF'!G15+'07_Valuation_DCF'!B25)/'08_Transaction'!B10</x:f>
        <x:v>22.39572362431063</x:v>
      </x:c>
      <x:c r="E72" s="134" t="n">
        <x:f>('07_Valuation_DCF'!B14/(1+$A72)^'07_Valuation_DCF'!B15+'07_Valuation_DCF'!C14/(1+$A72)^'07_Valuation_DCF'!C15+'07_Valuation_DCF'!D14/(1+$A72)^'07_Valuation_DCF'!D15+'07_Valuation_DCF'!E14/(1+$A72)^'07_Valuation_DCF'!E15+'07_Valuation_DCF'!F14/(1+$A72)^'07_Valuation_DCF'!F15+'07_Valuation_DCF'!G14/(1+$A72)^'07_Valuation_DCF'!G15+('07_Valuation_DCF'!G6*(1+E$70)*(1-'01_Assumptions'!$B$16)+('07_Valuation_DCF'!G9-'07_Valuation_DCF'!G10)*(1+E$70)-'05_GTLB_Forecast'!G24*'07_Valuation_DCF'!G5*E$70)/($A72-E$70)/(1+$A72)^'07_Valuation_DCF'!G15+'07_Valuation_DCF'!B25)/'08_Transaction'!B10</x:f>
        <x:v>23.405869792091124</x:v>
      </x:c>
      <x:c r="F72" s="134" t="n">
        <x:f>('07_Valuation_DCF'!B14/(1+$A72)^'07_Valuation_DCF'!B15+'07_Valuation_DCF'!C14/(1+$A72)^'07_Valuation_DCF'!C15+'07_Valuation_DCF'!D14/(1+$A72)^'07_Valuation_DCF'!D15+'07_Valuation_DCF'!E14/(1+$A72)^'07_Valuation_DCF'!E15+'07_Valuation_DCF'!F14/(1+$A72)^'07_Valuation_DCF'!F15+'07_Valuation_DCF'!G14/(1+$A72)^'07_Valuation_DCF'!G15+('07_Valuation_DCF'!G6*(1+F$70)*(1-'01_Assumptions'!$B$16)+('07_Valuation_DCF'!G9-'07_Valuation_DCF'!G10)*(1+F$70)-'05_GTLB_Forecast'!G24*'07_Valuation_DCF'!G5*F$70)/($A72-F$70)/(1+$A72)^'07_Valuation_DCF'!G15+'07_Valuation_DCF'!B25)/'08_Transaction'!B10</x:f>
        <x:v>24.56032255526883</x:v>
      </x:c>
      <x:c r="G72" s="86"/>
    </x:row>
    <x:row r="73">
      <x:c r="A73" s="131" t="n">
        <x:f>'01_Assumptions'!$B$40+(2-2)*'01_Assumptions'!$B$106</x:f>
        <x:v>0.115</x:v>
      </x:c>
      <x:c r="B73" s="134" t="n">
        <x:f>('07_Valuation_DCF'!B14/(1+$A73)^'07_Valuation_DCF'!B15+'07_Valuation_DCF'!C14/(1+$A73)^'07_Valuation_DCF'!C15+'07_Valuation_DCF'!D14/(1+$A73)^'07_Valuation_DCF'!D15+'07_Valuation_DCF'!E14/(1+$A73)^'07_Valuation_DCF'!E15+'07_Valuation_DCF'!F14/(1+$A73)^'07_Valuation_DCF'!F15+'07_Valuation_DCF'!G14/(1+$A73)^'07_Valuation_DCF'!G15+('07_Valuation_DCF'!G6*(1+B$70)*(1-'01_Assumptions'!$B$16)+('07_Valuation_DCF'!G9-'07_Valuation_DCF'!G10)*(1+B$70)-'05_GTLB_Forecast'!G24*'07_Valuation_DCF'!G5*B$70)/($A73-B$70)/(1+$A73)^'07_Valuation_DCF'!G15+'07_Valuation_DCF'!B25)/'08_Transaction'!B10</x:f>
        <x:v>19.001225456869584</x:v>
      </x:c>
      <x:c r="C73" s="134" t="n">
        <x:f>('07_Valuation_DCF'!B14/(1+$A73)^'07_Valuation_DCF'!B15+'07_Valuation_DCF'!C14/(1+$A73)^'07_Valuation_DCF'!C15+'07_Valuation_DCF'!D14/(1+$A73)^'07_Valuation_DCF'!D15+'07_Valuation_DCF'!E14/(1+$A73)^'07_Valuation_DCF'!E15+'07_Valuation_DCF'!F14/(1+$A73)^'07_Valuation_DCF'!F15+'07_Valuation_DCF'!G14/(1+$A73)^'07_Valuation_DCF'!G15+('07_Valuation_DCF'!G6*(1+C$70)*(1-'01_Assumptions'!$B$16)+('07_Valuation_DCF'!G9-'07_Valuation_DCF'!G10)*(1+C$70)-'05_GTLB_Forecast'!G24*'07_Valuation_DCF'!G5*C$70)/($A73-C$70)/(1+$A73)^'07_Valuation_DCF'!G15+'07_Valuation_DCF'!B25)/'08_Transaction'!B10</x:f>
        <x:v>19.620377755305174</x:v>
      </x:c>
      <x:c r="D73" s="134" t="n">
        <x:f>('07_Valuation_DCF'!B14/(1+$A73)^'07_Valuation_DCF'!B15+'07_Valuation_DCF'!C14/(1+$A73)^'07_Valuation_DCF'!C15+'07_Valuation_DCF'!D14/(1+$A73)^'07_Valuation_DCF'!D15+'07_Valuation_DCF'!E14/(1+$A73)^'07_Valuation_DCF'!E15+'07_Valuation_DCF'!F14/(1+$A73)^'07_Valuation_DCF'!F15+'07_Valuation_DCF'!G14/(1+$A73)^'07_Valuation_DCF'!G15+('07_Valuation_DCF'!G6*(1+D$70)*(1-'01_Assumptions'!$B$16)+('07_Valuation_DCF'!G9-'07_Valuation_DCF'!G10)*(1+D$70)-'05_GTLB_Forecast'!G24*'07_Valuation_DCF'!G5*D$70)/($A73-D$70)/(1+$A73)^'07_Valuation_DCF'!G15+'07_Valuation_DCF'!B25)/'08_Transaction'!B10</x:f>
        <x:v>20.308324753566936</x:v>
      </x:c>
      <x:c r="E73" s="134" t="n">
        <x:f>('07_Valuation_DCF'!B14/(1+$A73)^'07_Valuation_DCF'!B15+'07_Valuation_DCF'!C14/(1+$A73)^'07_Valuation_DCF'!C15+'07_Valuation_DCF'!D14/(1+$A73)^'07_Valuation_DCF'!D15+'07_Valuation_DCF'!E14/(1+$A73)^'07_Valuation_DCF'!E15+'07_Valuation_DCF'!F14/(1+$A73)^'07_Valuation_DCF'!F15+'07_Valuation_DCF'!G14/(1+$A73)^'07_Valuation_DCF'!G15+('07_Valuation_DCF'!G6*(1+E$70)*(1-'01_Assumptions'!$B$16)+('07_Valuation_DCF'!G9-'07_Valuation_DCF'!G10)*(1+E$70)-'05_GTLB_Forecast'!G24*'07_Valuation_DCF'!G5*E$70)/($A73-E$70)/(1+$A73)^'07_Valuation_DCF'!G15+'07_Valuation_DCF'!B25)/'08_Transaction'!B10</x:f>
        <x:v>21.077206692800672</x:v>
      </x:c>
      <x:c r="F73" s="134" t="n">
        <x:f>('07_Valuation_DCF'!B14/(1+$A73)^'07_Valuation_DCF'!B15+'07_Valuation_DCF'!C14/(1+$A73)^'07_Valuation_DCF'!C15+'07_Valuation_DCF'!D14/(1+$A73)^'07_Valuation_DCF'!D15+'07_Valuation_DCF'!E14/(1+$A73)^'07_Valuation_DCF'!E15+'07_Valuation_DCF'!F14/(1+$A73)^'07_Valuation_DCF'!F15+'07_Valuation_DCF'!G14/(1+$A73)^'07_Valuation_DCF'!G15+('07_Valuation_DCF'!G6*(1+F$70)*(1-'01_Assumptions'!$B$16)+('07_Valuation_DCF'!G9-'07_Valuation_DCF'!G10)*(1+F$70)-'05_GTLB_Forecast'!G24*'07_Valuation_DCF'!G5*F$70)/($A73-F$70)/(1+$A73)^'07_Valuation_DCF'!G15+'07_Valuation_DCF'!B25)/'08_Transaction'!B10</x:f>
        <x:v>21.94219887443863</x:v>
      </x:c>
      <x:c r="G73" s="86"/>
    </x:row>
    <x:row r="74">
      <x:c r="A74" s="131" t="n">
        <x:f>'01_Assumptions'!$B$40+(3-2)*'01_Assumptions'!$B$106</x:f>
        <x:v>0.125</x:v>
      </x:c>
      <x:c r="B74" s="134" t="n">
        <x:f>('07_Valuation_DCF'!B14/(1+$A74)^'07_Valuation_DCF'!B15+'07_Valuation_DCF'!C14/(1+$A74)^'07_Valuation_DCF'!C15+'07_Valuation_DCF'!D14/(1+$A74)^'07_Valuation_DCF'!D15+'07_Valuation_DCF'!E14/(1+$A74)^'07_Valuation_DCF'!E15+'07_Valuation_DCF'!F14/(1+$A74)^'07_Valuation_DCF'!F15+'07_Valuation_DCF'!G14/(1+$A74)^'07_Valuation_DCF'!G15+('07_Valuation_DCF'!G6*(1+B$70)*(1-'01_Assumptions'!$B$16)+('07_Valuation_DCF'!G9-'07_Valuation_DCF'!G10)*(1+B$70)-'05_GTLB_Forecast'!G24*'07_Valuation_DCF'!G5*B$70)/($A74-B$70)/(1+$A74)^'07_Valuation_DCF'!G15+'07_Valuation_DCF'!B25)/'08_Transaction'!B10</x:f>
        <x:v>17.61029406700879</x:v>
      </x:c>
      <x:c r="C74" s="134" t="n">
        <x:f>('07_Valuation_DCF'!B14/(1+$A74)^'07_Valuation_DCF'!B15+'07_Valuation_DCF'!C14/(1+$A74)^'07_Valuation_DCF'!C15+'07_Valuation_DCF'!D14/(1+$A74)^'07_Valuation_DCF'!D15+'07_Valuation_DCF'!E14/(1+$A74)^'07_Valuation_DCF'!E15+'07_Valuation_DCF'!F14/(1+$A74)^'07_Valuation_DCF'!F15+'07_Valuation_DCF'!G14/(1+$A74)^'07_Valuation_DCF'!G15+('07_Valuation_DCF'!G6*(1+C$70)*(1-'01_Assumptions'!$B$16)+('07_Valuation_DCF'!G9-'07_Valuation_DCF'!G10)*(1+C$70)-'05_GTLB_Forecast'!G24*'07_Valuation_DCF'!G5*C$70)/($A74-C$70)/(1+$A74)^'07_Valuation_DCF'!G15+'07_Valuation_DCF'!B25)/'08_Transaction'!B10</x:f>
        <x:v>18.104563428871657</x:v>
      </x:c>
      <x:c r="D74" s="134" t="n">
        <x:f>('07_Valuation_DCF'!B14/(1+$A74)^'07_Valuation_DCF'!B15+'07_Valuation_DCF'!C14/(1+$A74)^'07_Valuation_DCF'!C15+'07_Valuation_DCF'!D14/(1+$A74)^'07_Valuation_DCF'!D15+'07_Valuation_DCF'!E14/(1+$A74)^'07_Valuation_DCF'!E15+'07_Valuation_DCF'!F14/(1+$A74)^'07_Valuation_DCF'!F15+'07_Valuation_DCF'!G14/(1+$A74)^'07_Valuation_DCF'!G15+('07_Valuation_DCF'!G6*(1+D$70)*(1-'01_Assumptions'!$B$16)+('07_Valuation_DCF'!G9-'07_Valuation_DCF'!G10)*(1+D$70)-'05_GTLB_Forecast'!G24*'07_Valuation_DCF'!G5*D$70)/($A74-D$70)/(1+$A74)^'07_Valuation_DCF'!G15+'07_Valuation_DCF'!B25)/'08_Transaction'!B10</x:f>
        <x:v>18.648259726920806</x:v>
      </x:c>
      <x:c r="E74" s="134" t="n">
        <x:f>('07_Valuation_DCF'!B14/(1+$A74)^'07_Valuation_DCF'!B15+'07_Valuation_DCF'!C14/(1+$A74)^'07_Valuation_DCF'!C15+'07_Valuation_DCF'!D14/(1+$A74)^'07_Valuation_DCF'!D15+'07_Valuation_DCF'!E14/(1+$A74)^'07_Valuation_DCF'!E15+'07_Valuation_DCF'!F14/(1+$A74)^'07_Valuation_DCF'!F15+'07_Valuation_DCF'!G14/(1+$A74)^'07_Valuation_DCF'!G15+('07_Valuation_DCF'!G6*(1+E$70)*(1-'01_Assumptions'!$B$16)+('07_Valuation_DCF'!G9-'07_Valuation_DCF'!G10)*(1+E$70)-'05_GTLB_Forecast'!G24*'07_Valuation_DCF'!G5*E$70)/($A74-E$70)/(1+$A74)^'07_Valuation_DCF'!G15+'07_Valuation_DCF'!B25)/'08_Transaction'!B10</x:f>
        <x:v>19.249187214238294</x:v>
      </x:c>
      <x:c r="F74" s="134" t="n">
        <x:f>('07_Valuation_DCF'!B14/(1+$A74)^'07_Valuation_DCF'!B15+'07_Valuation_DCF'!C14/(1+$A74)^'07_Valuation_DCF'!C15+'07_Valuation_DCF'!D14/(1+$A74)^'07_Valuation_DCF'!D15+'07_Valuation_DCF'!E14/(1+$A74)^'07_Valuation_DCF'!E15+'07_Valuation_DCF'!F14/(1+$A74)^'07_Valuation_DCF'!F15+'07_Valuation_DCF'!G14/(1+$A74)^'07_Valuation_DCF'!G15+('07_Valuation_DCF'!G6*(1+F$70)*(1-'01_Assumptions'!$B$16)+('07_Valuation_DCF'!G9-'07_Valuation_DCF'!G10)*(1+F$70)-'05_GTLB_Forecast'!G24*'07_Valuation_DCF'!G5*F$70)/($A74-F$70)/(1+$A74)^'07_Valuation_DCF'!G15+'07_Valuation_DCF'!B25)/'08_Transaction'!B10</x:f>
        <x:v>19.91688442236883</x:v>
      </x:c>
      <x:c r="G74" s="86"/>
    </x:row>
    <x:row r="75">
      <x:c r="A75" s="131" t="n">
        <x:f>'01_Assumptions'!$B$40+(4-2)*'01_Assumptions'!$B$106</x:f>
        <x:v>0.135</x:v>
      </x:c>
      <x:c r="B75" s="134" t="n">
        <x:f>('07_Valuation_DCF'!B14/(1+$A75)^'07_Valuation_DCF'!B15+'07_Valuation_DCF'!C14/(1+$A75)^'07_Valuation_DCF'!C15+'07_Valuation_DCF'!D14/(1+$A75)^'07_Valuation_DCF'!D15+'07_Valuation_DCF'!E14/(1+$A75)^'07_Valuation_DCF'!E15+'07_Valuation_DCF'!F14/(1+$A75)^'07_Valuation_DCF'!F15+'07_Valuation_DCF'!G14/(1+$A75)^'07_Valuation_DCF'!G15+('07_Valuation_DCF'!G6*(1+B$70)*(1-'01_Assumptions'!$B$16)+('07_Valuation_DCF'!G9-'07_Valuation_DCF'!G10)*(1+B$70)-'05_GTLB_Forecast'!G24*'07_Valuation_DCF'!G5*B$70)/($A75-B$70)/(1+$A75)^'07_Valuation_DCF'!G15+'07_Valuation_DCF'!B25)/'08_Transaction'!B10</x:f>
        <x:v>16.45900567347649</x:v>
      </x:c>
      <x:c r="C75" s="134" t="n">
        <x:f>('07_Valuation_DCF'!B14/(1+$A75)^'07_Valuation_DCF'!B15+'07_Valuation_DCF'!C14/(1+$A75)^'07_Valuation_DCF'!C15+'07_Valuation_DCF'!D14/(1+$A75)^'07_Valuation_DCF'!D15+'07_Valuation_DCF'!E14/(1+$A75)^'07_Valuation_DCF'!E15+'07_Valuation_DCF'!F14/(1+$A75)^'07_Valuation_DCF'!F15+'07_Valuation_DCF'!G14/(1+$A75)^'07_Valuation_DCF'!G15+('07_Valuation_DCF'!G6*(1+C$70)*(1-'01_Assumptions'!$B$16)+('07_Valuation_DCF'!G9-'07_Valuation_DCF'!G10)*(1+C$70)-'05_GTLB_Forecast'!G24*'07_Valuation_DCF'!G5*C$70)/($A75-C$70)/(1+$A75)^'07_Valuation_DCF'!G15+'07_Valuation_DCF'!B25)/'08_Transaction'!B10</x:f>
        <x:v>16.86054880746204</x:v>
      </x:c>
      <x:c r="D75" s="134" t="n">
        <x:f>('07_Valuation_DCF'!B14/(1+$A75)^'07_Valuation_DCF'!B15+'07_Valuation_DCF'!C14/(1+$A75)^'07_Valuation_DCF'!C15+'07_Valuation_DCF'!D14/(1+$A75)^'07_Valuation_DCF'!D15+'07_Valuation_DCF'!E14/(1+$A75)^'07_Valuation_DCF'!E15+'07_Valuation_DCF'!F14/(1+$A75)^'07_Valuation_DCF'!F15+'07_Valuation_DCF'!G14/(1+$A75)^'07_Valuation_DCF'!G15+('07_Valuation_DCF'!G6*(1+D$70)*(1-'01_Assumptions'!$B$16)+('07_Valuation_DCF'!G9-'07_Valuation_DCF'!G10)*(1+D$70)-'05_GTLB_Forecast'!G24*'07_Valuation_DCF'!G5*D$70)/($A75-D$70)/(1+$A75)^'07_Valuation_DCF'!G15+'07_Valuation_DCF'!B25)/'08_Transaction'!B10</x:f>
        <x:v>17.298595862719</x:v>
      </x:c>
      <x:c r="E75" s="134" t="n">
        <x:f>('07_Valuation_DCF'!B14/(1+$A75)^'07_Valuation_DCF'!B15+'07_Valuation_DCF'!C14/(1+$A75)^'07_Valuation_DCF'!C15+'07_Valuation_DCF'!D14/(1+$A75)^'07_Valuation_DCF'!D15+'07_Valuation_DCF'!E14/(1+$A75)^'07_Valuation_DCF'!E15+'07_Valuation_DCF'!F14/(1+$A75)^'07_Valuation_DCF'!F15+'07_Valuation_DCF'!G14/(1+$A75)^'07_Valuation_DCF'!G15+('07_Valuation_DCF'!G6*(1+E$70)*(1-'01_Assumptions'!$B$16)+('07_Valuation_DCF'!G9-'07_Valuation_DCF'!G10)*(1+E$70)-'05_GTLB_Forecast'!G24*'07_Valuation_DCF'!G5*E$70)/($A75-E$70)/(1+$A75)^'07_Valuation_DCF'!G15+'07_Valuation_DCF'!B25)/'08_Transaction'!B10</x:f>
        <x:v>17.7783616851433</x:v>
      </x:c>
      <x:c r="F75" s="134" t="n">
        <x:f>('07_Valuation_DCF'!B14/(1+$A75)^'07_Valuation_DCF'!B15+'07_Valuation_DCF'!C14/(1+$A75)^'07_Valuation_DCF'!C15+'07_Valuation_DCF'!D14/(1+$A75)^'07_Valuation_DCF'!D15+'07_Valuation_DCF'!E14/(1+$A75)^'07_Valuation_DCF'!E15+'07_Valuation_DCF'!F14/(1+$A75)^'07_Valuation_DCF'!F15+'07_Valuation_DCF'!G14/(1+$A75)^'07_Valuation_DCF'!G15+('07_Valuation_DCF'!G6*(1+F$70)*(1-'01_Assumptions'!$B$16)+('07_Valuation_DCF'!G9-'07_Valuation_DCF'!G10)*(1+F$70)-'05_GTLB_Forecast'!G24*'07_Valuation_DCF'!G5*F$70)/($A75-F$70)/(1+$A75)^'07_Valuation_DCF'!G15+'07_Valuation_DCF'!B25)/'08_Transaction'!B10</x:f>
        <x:v>18.30610408981002</x:v>
      </x:c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32:O32"/>
    <x:mergeCell ref="A13:G13"/>
    <x:mergeCell ref="A23:G24"/>
    <x:mergeCell ref="A69:G69"/>
  </x:mergeCells>
  <x:conditionalFormatting sqref="B6:F10">
    <x:cfRule type="colorScale" priority="1">
      <x:colorScale>
        <x:cfvo type="min"/>
        <x:cfvo type="percentile" val="50"/>
        <x:cfvo type="max"/>
        <x:color rgb="FFE5A4A4"/>
        <x:color rgb="FFFFFFFF"/>
        <x:color rgb="FF80C6B0"/>
      </x:colorScale>
    </x:cfRule>
  </x:conditionalFormatting>
  <x:conditionalFormatting sqref="B71:F75">
    <x:cfRule type="colorScale" priority="2">
      <x:colorScale>
        <x:cfvo type="min"/>
        <x:cfvo type="max"/>
        <x:color rgb="FFE3EDF4"/>
        <x:color rgb="FF43868C"/>
      </x:colorScale>
    </x:cfRule>
  </x:conditionalFormatting>
  <x:pageMargins left="0.7" right="0.7" top="0.75" bottom="0.75" header="0.3" footer="0.3"/>
  <x:legacyDrawing xmlns:r="http://schemas.openxmlformats.org/officeDocument/2006/relationships" r:id="R2e7baf9b1376427b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Output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2" customHeight="1">
      <x:c r="A5" s="78" t="str">
        <x:v>Offer price</x:v>
      </x:c>
      <x:c r="B5" s="84" t="n">
        <x:f>'08_Transaction'!B7</x:f>
        <x:v>62.287499999999994</x:v>
      </x:c>
      <x:c r="C5" s="82"/>
      <x:c r="D5" s="82"/>
      <x:c r="E5" s="82"/>
      <x:c r="F5" s="82"/>
      <x:c r="G5" s="82"/>
    </x:row>
    <x:row r="6" ht="22" customHeight="1">
      <x:c r="A6" s="78" t="str">
        <x:v>Equity consideration</x:v>
      </x:c>
      <x:c r="B6" s="83" t="n">
        <x:f>'08_Transaction'!B11</x:f>
        <x:v>10730.952787499999</x:v>
      </x:c>
      <x:c r="C6" s="82"/>
      <x:c r="D6" s="82"/>
      <x:c r="E6" s="82"/>
      <x:c r="F6" s="82"/>
      <x:c r="G6" s="82"/>
    </x:row>
    <x:row r="7" ht="22" customHeight="1">
      <x:c r="A7" s="110" t="str">
        <x:v>Transaction enterprise value</x:v>
      </x:c>
      <x:c r="B7" s="119" t="n">
        <x:f>'08_Transaction'!B15</x:f>
        <x:v>9566.024787499999</x:v>
      </x:c>
      <x:c r="C7" s="122"/>
      <x:c r="D7" s="122"/>
      <x:c r="E7" s="122"/>
      <x:c r="F7" s="122"/>
      <x:c r="G7" s="122"/>
    </x:row>
    <x:row r="8" ht="22" customHeight="1">
      <x:c r="A8" s="78" t="str">
        <x:v>Run-rate cost savings</x:v>
      </x:c>
      <x:c r="B8" s="83" t="n">
        <x:f>'11_Synergies'!D9</x:f>
        <x:v>99.64092000000002</x:v>
      </x:c>
      <x:c r="C8" s="82"/>
      <x:c r="D8" s="82"/>
      <x:c r="E8" s="82"/>
      <x:c r="F8" s="82"/>
      <x:c r="G8" s="82"/>
    </x:row>
    <x:row r="9" ht="22" customHeight="1">
      <x:c r="A9" s="78" t="str">
        <x:v>Year 1 recurring EPS impact</x:v>
      </x:c>
      <x:c r="B9" s="85" t="n">
        <x:f>'13_Accretion_Dilution'!B7</x:f>
        <x:v>-0.09720414234789454</x:v>
      </x:c>
      <x:c r="C9" s="82"/>
      <x:c r="D9" s="82"/>
      <x:c r="E9" s="82"/>
      <x:c r="F9" s="82"/>
      <x:c r="G9" s="82"/>
    </x:row>
    <x:row r="10" ht="22" customHeight="1">
      <x:c r="A10" s="78" t="str">
        <x:v>Year 3 recurring EPS impact</x:v>
      </x:c>
      <x:c r="B10" s="85" t="n">
        <x:f>'13_Accretion_Dilution'!D7</x:f>
        <x:v>-0.059314368176103804</x:v>
      </x:c>
      <x:c r="C10" s="82"/>
      <x:c r="D10" s="82"/>
      <x:c r="E10" s="82"/>
      <x:c r="F10" s="82"/>
      <x:c r="G10" s="82"/>
    </x:row>
    <x:row r="11" ht="22" customHeight="1">
      <x:c r="A11" s="110" t="str">
        <x:v>Year 3 EPS-neutral run-rate savings</x:v>
      </x:c>
      <x:c r="B11" s="119" t="n">
        <x:f>'13_Accretion_Dilution'!D16</x:f>
        <x:v>878.4527770643765</x:v>
      </x:c>
      <x:c r="C11" s="122"/>
      <x:c r="D11" s="122"/>
      <x:c r="E11" s="122"/>
      <x:c r="F11" s="122"/>
      <x:c r="G11" s="122"/>
    </x:row>
    <x:row r="12" ht="22" customHeight="1">
      <x:c r="A12" s="78" t="str">
        <x:v>Gordon DCF standalone price</x:v>
      </x:c>
      <x:c r="B12" s="84" t="n">
        <x:f>'07_Valuation_DCF'!B27</x:f>
        <x:v>20.308324753566936</x:v>
      </x:c>
      <x:c r="C12" s="82"/>
      <x:c r="D12" s="82"/>
      <x:c r="E12" s="82"/>
      <x:c r="F12" s="82"/>
      <x:c r="G12" s="82"/>
    </x:row>
    <x:row r="13" ht="22" customHeight="1">
      <x:c r="A13" s="78" t="str">
        <x:v>Exit-multiple DCF standalone price</x:v>
      </x:c>
      <x:c r="B13" s="84" t="n">
        <x:f>'07_Valuation_DCF'!B30</x:f>
        <x:v>33.24022962028795</x:v>
      </x:c>
      <x:c r="C13" s="82"/>
      <x:c r="D13" s="82"/>
      <x:c r="E13" s="82"/>
      <x:c r="F13" s="82"/>
      <x:c r="G13" s="82"/>
    </x:row>
    <x:row r="14" ht="22" customHeight="1">
      <x:c r="A14" s="78" t="str">
        <x:v>Trading comps median price</x:v>
      </x:c>
      <x:c r="B14" s="84" t="n">
        <x:f>'06_Valuation_Comps'!B29</x:f>
        <x:v>104.007415155889</x:v>
      </x:c>
      <x:c r="C14" s="82"/>
      <x:c r="D14" s="82"/>
      <x:c r="E14" s="82"/>
      <x:c r="F14" s="82"/>
      <x:c r="G14" s="82"/>
    </x:row>
    <x:row r="15" ht="22" customHeight="1">
      <x:c r="A15" s="78"/>
      <x:c r="B15" s="82"/>
      <x:c r="C15" s="82"/>
      <x:c r="D15" s="82"/>
      <x:c r="E15" s="82"/>
      <x:c r="F15" s="82"/>
      <x:c r="G15" s="82"/>
    </x:row>
    <x:row r="16" ht="22" customHeight="1">
      <x:c r="A16" s="78"/>
      <x:c r="B16" s="82"/>
      <x:c r="C16" s="82"/>
      <x:c r="D16" s="82"/>
      <x:c r="E16" s="82"/>
      <x:c r="F16" s="82"/>
      <x:c r="G16" s="82"/>
    </x:row>
    <x:row r="17" ht="26" customHeight="1">
      <x:c r="A17" s="111" t="str">
        <x:v>BUYER VALUE CREATION | SEPTEMBER 2026 PV</x:v>
      </x:c>
      <x:c r="B17" s="118"/>
      <x:c r="C17" s="118"/>
      <x:c r="D17" s="118"/>
      <x:c r="E17" s="118"/>
      <x:c r="F17" s="118"/>
      <x:c r="G17" s="118"/>
    </x:row>
    <x:row r="18" ht="22" customHeight="1">
      <x:c r="A18" s="78"/>
      <x:c r="B18" s="82" t="str">
        <x:v>FY2028E</x:v>
      </x:c>
      <x:c r="C18" s="82" t="str">
        <x:v>FY2029E</x:v>
      </x:c>
      <x:c r="D18" s="82" t="str">
        <x:v>FY2030E</x:v>
      </x:c>
      <x:c r="E18" s="82"/>
      <x:c r="F18" s="82"/>
      <x:c r="G18" s="82"/>
    </x:row>
    <x:row r="19" ht="22" customHeight="1">
      <x:c r="A19" s="78" t="str">
        <x:v>PV of net annual synergy cash flows</x:v>
      </x:c>
      <x:c r="B19" s="83" t="n">
        <x:f>('11_Synergies'!B15+'11_Synergies'!B17-'11_Synergies'!B18)*(1-'01_Assumptions'!$B$16)/(1+'01_Assumptions'!$B$40)^'07_Valuation_DCF'!C15</x:f>
        <x:v>-22.88726158948258</x:v>
      </x:c>
      <x:c r="C19" s="83" t="n">
        <x:f>('11_Synergies'!C15+'11_Synergies'!C17-'11_Synergies'!C18)*(1-'01_Assumptions'!$B$16)/(1+'01_Assumptions'!$B$40)^'07_Valuation_DCF'!D15</x:f>
        <x:v>11.72953829057403</x:v>
      </x:c>
      <x:c r="D19" s="83" t="n">
        <x:f>('11_Synergies'!D15+'11_Synergies'!D17-'11_Synergies'!D18)*(1-'01_Assumptions'!$B$16)/(1+'01_Assumptions'!$B$40)^'07_Valuation_DCF'!E15</x:f>
        <x:v>52.59882641513019</x:v>
      </x:c>
      <x:c r="E19" s="82"/>
      <x:c r="F19" s="82"/>
      <x:c r="G19" s="82"/>
    </x:row>
    <x:row r="20" ht="22" customHeight="1">
      <x:c r="A20" s="78"/>
      <x:c r="B20" s="82"/>
      <x:c r="C20" s="82"/>
      <x:c r="D20" s="82"/>
      <x:c r="E20" s="82"/>
      <x:c r="F20" s="82"/>
      <x:c r="G20" s="82"/>
    </x:row>
    <x:row r="21" ht="22" customHeight="1">
      <x:c r="A21" s="78" t="str">
        <x:v>PV of ongoing flat run-rate savings</x:v>
      </x:c>
      <x:c r="B21" s="83" t="n">
        <x:f>('11_Synergies'!D9+'01_Assumptions'!$B$38*'01_Assumptions'!$B$39)*(1-'01_Assumptions'!$B$16)/'01_Assumptions'!$B$40/(1+'01_Assumptions'!$B$40)^'07_Valuation_DCF'!E15</x:f>
        <x:v>457.3810992620016</x:v>
      </x:c>
      <x:c r="C21" s="82"/>
      <x:c r="D21" s="82"/>
      <x:c r="E21" s="82"/>
      <x:c r="F21" s="82"/>
      <x:c r="G21" s="82"/>
    </x:row>
    <x:row r="22" ht="22" customHeight="1">
      <x:c r="A22" s="78" t="str">
        <x:v>PV of net synergies</x:v>
      </x:c>
      <x:c r="B22" s="112" t="n">
        <x:f>SUM(B19:D19)+B21</x:f>
        <x:v>498.82220237822327</x:v>
      </x:c>
      <x:c r="C22" s="82"/>
      <x:c r="D22" s="82"/>
      <x:c r="E22" s="82"/>
      <x:c r="F22" s="82"/>
      <x:c r="G22" s="82"/>
    </x:row>
    <x:row r="23" ht="22" customHeight="1">
      <x:c r="A23" s="78" t="str">
        <x:v>PV factor to closing</x:v>
      </x:c>
      <x:c r="B23" s="164" t="n">
        <x:f>1/(1+'01_Assumptions'!$B$40)^(('01_Assumptions'!$B$47-'01_Assumptions'!$B$48)/'01_Assumptions'!$B$44)</x:f>
        <x:v>0.9562511540904263</x:v>
      </x:c>
      <x:c r="C23" s="82"/>
      <x:c r="D23" s="82"/>
      <x:c r="E23" s="82"/>
      <x:c r="F23" s="82"/>
      <x:c r="G23" s="82"/>
    </x:row>
    <x:row r="24" ht="22" customHeight="1">
      <x:c r="A24" s="78" t="str">
        <x:v>Standalone DCF equity value</x:v>
      </x:c>
      <x:c r="B24" s="83" t="n">
        <x:f>'07_Valuation_DCF'!B26</x:f>
        <x:v>3498.7384968692654</x:v>
      </x:c>
      <x:c r="C24" s="82"/>
      <x:c r="D24" s="82"/>
      <x:c r="E24" s="82"/>
      <x:c r="F24" s="82"/>
      <x:c r="G24" s="82"/>
    </x:row>
    <x:row r="25" ht="22" customHeight="1">
      <x:c r="A25" s="110" t="str">
        <x:v>Buyer NPV before financing frictions</x:v>
      </x:c>
      <x:c r="B25" s="119" t="n">
        <x:f>B24+B22-('08_Transaction'!B11+'09_Sources_Uses'!B7)*B23</x:f>
        <x:v>-6366.54014816463</x:v>
      </x:c>
      <x:c r="C25" s="122"/>
      <x:c r="D25" s="122"/>
      <x:c r="E25" s="122"/>
      <x:c r="F25" s="122"/>
      <x:c r="G25" s="122"/>
    </x:row>
    <x:row r="26" ht="22" customHeight="1">
      <x:c r="A26" s="110" t="str">
        <x:v>Economic break-even offer price</x:v>
      </x:c>
      <x:c r="B26" s="121" t="n">
        <x:f>(B24+B22)/(B23*(1+'01_Assumptions'!$B$17)*'08_Transaction'!B10)</x:f>
        <x:v>24.025052025285138</x:v>
      </x:c>
      <x:c r="C26" s="122"/>
      <x:c r="D26" s="122"/>
      <x:c r="E26" s="122"/>
      <x:c r="F26" s="122"/>
      <x:c r="G26" s="122"/>
    </x:row>
    <x:row r="27" ht="22" customHeight="1">
      <x:c r="A27" s="78" t="str">
        <x:v>Economic premium / (discount)</x:v>
      </x:c>
      <x:c r="B27" s="85" t="n">
        <x:f>B26/'01_Assumptions'!$B$5-1</x:f>
        <x:v>-0.5178596824145065</x:v>
      </x:c>
      <x:c r="C27" s="82"/>
      <x:c r="D27" s="82"/>
      <x:c r="E27" s="82"/>
      <x:c r="F27" s="82"/>
      <x:c r="G27" s="82"/>
    </x:row>
    <x:row r="28" ht="22" customHeight="1">
      <x:c r="A28" s="177" t="str">
        <x:v>Recommendation</x:v>
      </x:c>
      <x:c r="B28" s="180" t="str">
        <x:v>DO NOT ACQUIRE at modeled offer</x:v>
      </x:c>
      <x:c r="C28" s="176"/>
      <x:c r="D28" s="176"/>
      <x:c r="E28" s="151"/>
      <x:c r="F28" s="151"/>
      <x:c r="G28" s="151"/>
    </x:row>
    <x:row r="29" ht="22" customHeight="1">
      <x:c r="A29" s="78" t="str">
        <x:v>Liquidity headroom</x:v>
      </x:c>
      <x:c r="B29" s="83" t="n">
        <x:f>'09_Sources_Uses'!B28</x:f>
        <x:v>1572.7112022968754</x:v>
      </x:c>
      <x:c r="C29" s="82"/>
      <x:c r="D29" s="82"/>
      <x:c r="E29" s="82"/>
      <x:c r="F29" s="82"/>
      <x:c r="G29" s="82"/>
    </x:row>
    <x:row r="30" ht="22" customHeight="1">
      <x:c r="A30" s="78" t="str">
        <x:v>Gross debt / Year 1 GAAP EBIT+D&amp;A</x:v>
      </x:c>
      <x:c r="B30" s="123" t="n">
        <x:f>('02_CRM_Historical'!B36+'09_Sources_Uses'!B13)/('12_Pro_Forma'!B15+'03_CRM_Forecast'!C22+'05_GTLB_Forecast'!C22+'10_Purchase_Accounting'!D22)</x:f>
        <x:v>2.772544833817923</x:v>
      </x:c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0" customHeight="1">
      <x:c r="A33" s="7" t="str">
        <x:v>Economic ceiling uses Gordon DCF + net cost synergies, not EPS accretion. Financing frictions are excluded from enterprise value to avoid mixing funding structure with operating value. Assumptions do not establish willingness to sell.</x:v>
      </x:c>
      <x:c r="B33" s="81"/>
      <x:c r="C33" s="81"/>
      <x:c r="D33" s="81"/>
      <x:c r="E33" s="81"/>
      <x:c r="F33" s="81"/>
      <x:c r="G33" s="81"/>
    </x:row>
    <x:row r="34" ht="20" customHeight="1">
      <x:c r="A34" s="7"/>
      <x:c r="B34" s="81"/>
      <x:c r="C34" s="81"/>
      <x:c r="D34" s="81"/>
      <x:c r="E34" s="81"/>
      <x:c r="F34" s="81"/>
      <x:c r="G34" s="81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6" customHeight="1">
      <x:c r="A37" s="111" t="str">
        <x:v>VALUATION FOOTBALL FIELD | USD PER DEAL SHARE</x:v>
      </x:c>
      <x:c r="B37" s="118"/>
      <x:c r="C37" s="118"/>
      <x:c r="D37" s="118"/>
      <x:c r="E37" s="118"/>
      <x:c r="F37" s="118"/>
      <x:c r="G37" s="118"/>
    </x:row>
    <x:row r="38" ht="22" customHeight="1">
      <x:c r="A38" s="78" t="str">
        <x:v>Method</x:v>
      </x:c>
      <x:c r="B38" s="82" t="str">
        <x:v>Low / marker</x:v>
      </x:c>
      <x:c r="C38" s="82" t="str">
        <x:v>High / marker</x:v>
      </x:c>
      <x:c r="D38" s="82" t="str">
        <x:v>Chart span</x:v>
      </x:c>
      <x:c r="E38" s="82"/>
      <x:c r="F38" s="82"/>
      <x:c r="G38" s="82"/>
    </x:row>
    <x:row r="39" ht="22" customHeight="1">
      <x:c r="A39" s="78" t="str">
        <x:v>Gordon DCF sensitivity</x:v>
      </x:c>
      <x:c r="B39" s="84" t="n">
        <x:f>MIN('14_Sensitivities'!B71:F75)</x:f>
        <x:v>16.45900567347649</x:v>
      </x:c>
      <x:c r="C39" s="84" t="n">
        <x:f>MAX('14_Sensitivities'!B71:F75)</x:f>
        <x:v>28.068421121758835</x:v>
      </x:c>
      <x:c r="D39" s="114" t="n">
        <x:f>MAX(C39-B39,0.05)</x:f>
        <x:v>11.609415448282345</x:v>
      </x:c>
      <x:c r="E39" s="82"/>
      <x:c r="F39" s="82"/>
      <x:c r="G39" s="82"/>
    </x:row>
    <x:row r="40" ht="22" customHeight="1">
      <x:c r="A40" s="78" t="str">
        <x:v>20x EBIT DCF exit</x:v>
      </x:c>
      <x:c r="B40" s="84" t="n">
        <x:f>'07_Valuation_DCF'!B30</x:f>
        <x:v>33.24022962028795</x:v>
      </x:c>
      <x:c r="C40" s="84" t="n">
        <x:f>'07_Valuation_DCF'!B30</x:f>
        <x:v>33.24022962028795</x:v>
      </x:c>
      <x:c r="D40" s="114" t="n">
        <x:f>MAX(C40-B40,0.05)</x:f>
        <x:v>0.05</x:v>
      </x:c>
      <x:c r="E40" s="82"/>
      <x:c r="F40" s="82"/>
      <x:c r="G40" s="82"/>
    </x:row>
    <x:row r="41" ht="22" customHeight="1">
      <x:c r="A41" s="78" t="str">
        <x:v>Trading comparables</x:v>
      </x:c>
      <x:c r="B41" s="84" t="n">
        <x:f>'06_Valuation_Comps'!B28</x:f>
        <x:v>53.261010857364</x:v>
      </x:c>
      <x:c r="C41" s="84" t="n">
        <x:f>'06_Valuation_Comps'!B30</x:f>
        <x:v>108.6291905705576</x:v>
      </x:c>
      <x:c r="D41" s="114" t="n">
        <x:f>MAX(C41-B41,0.05)</x:f>
        <x:v>55.3681797131936</x:v>
      </x:c>
      <x:c r="E41" s="82"/>
      <x:c r="F41" s="82"/>
      <x:c r="G41" s="82"/>
    </x:row>
    <x:row r="42" ht="22" customHeight="1">
      <x:c r="A42" s="78" t="str">
        <x:v>HashiCorp marker</x:v>
      </x:c>
      <x:c r="B42" s="84" t="n">
        <x:f>'16_Precedents'!B16</x:f>
        <x:v>73.98523284743322</x:v>
      </x:c>
      <x:c r="C42" s="84" t="n">
        <x:f>'16_Precedents'!B16</x:f>
        <x:v>73.98523284743322</x:v>
      </x:c>
      <x:c r="D42" s="114" t="n">
        <x:f>MAX(C42-B42,0.05)</x:f>
        <x:v>0.05</x:v>
      </x:c>
      <x:c r="E42" s="82"/>
      <x:c r="F42" s="82"/>
      <x:c r="G42" s="82"/>
    </x:row>
    <x:row r="43" ht="22" customHeight="1">
      <x:c r="A43" s="78" t="str">
        <x:v>Current close</x:v>
      </x:c>
      <x:c r="B43" s="84" t="n">
        <x:f>'01_Assumptions'!$B$5</x:f>
        <x:v>49.83</x:v>
      </x:c>
      <x:c r="C43" s="84" t="n">
        <x:f>'01_Assumptions'!$B$5</x:f>
        <x:v>49.83</x:v>
      </x:c>
      <x:c r="D43" s="114" t="n">
        <x:f>MAX(C43-B43,0.05)</x:f>
        <x:v>0.05</x:v>
      </x:c>
      <x:c r="E43" s="82"/>
      <x:c r="F43" s="82"/>
      <x:c r="G43" s="82"/>
    </x:row>
    <x:row r="44" ht="22" customHeight="1">
      <x:c r="A44" s="78" t="str">
        <x:v>Proposed offer</x:v>
      </x:c>
      <x:c r="B44" s="84" t="n">
        <x:f>'08_Transaction'!B7</x:f>
        <x:v>62.287499999999994</x:v>
      </x:c>
      <x:c r="C44" s="84" t="n">
        <x:f>'08_Transaction'!B7</x:f>
        <x:v>62.287499999999994</x:v>
      </x:c>
      <x:c r="D44" s="114" t="n">
        <x:f>MAX(C44-B44,0.05)</x:f>
        <x:v>0.05</x:v>
      </x:c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 t="str">
        <x:v>52-week range</x:v>
      </x:c>
      <x:c r="B46" s="181" t="n">
        <x:f>'01_Assumptions'!B66</x:f>
        <x:v>18.73</x:v>
      </x:c>
      <x:c r="C46" s="181" t="n">
        <x:f>'01_Assumptions'!B67</x:f>
        <x:v>55.55</x:v>
      </x:c>
      <x:c r="D46" s="182" t="n">
        <x:f>C46-B46</x:f>
        <x:v>36.81999999999999</x:v>
      </x:c>
      <x:c r="E46" s="82"/>
      <x:c r="F46" s="82"/>
      <x:c r="G46" s="82"/>
    </x:row>
    <x:row r="47" ht="20" customHeight="1">
      <x:c r="A47" s="7" t="str">
        <x:v>DCF range is centered on current WACC / growth with editable steps. Point markers use a $0.05 display width only. HashiCorp is one strategic reference, not a precedent valuation range. 52-week range source: GTLB_RANGE.</x:v>
      </x:c>
      <x:c r="B47" s="81"/>
      <x:c r="C47" s="81"/>
      <x:c r="D47" s="81"/>
      <x:c r="E47" s="81"/>
      <x:c r="F47" s="81"/>
      <x:c r="G47" s="81"/>
    </x:row>
    <x:row r="48" ht="20" customHeight="1">
      <x:c r="A48" s="7"/>
      <x:c r="B48" s="81"/>
      <x:c r="C48" s="81"/>
      <x:c r="D48" s="81"/>
      <x:c r="E48" s="81"/>
      <x:c r="F48" s="81"/>
      <x:c r="G48" s="81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17:G17"/>
    <x:mergeCell ref="A33:G34"/>
    <x:mergeCell ref="A37:G37"/>
    <x:mergeCell ref="A47:G48"/>
  </x:mergeCells>
  <x:pageMargins left="0.7" right="0.7" top="0.75" bottom="0.75" header="0.3" footer="0.3"/>
  <x:drawing xmlns:r="http://schemas.openxmlformats.org/officeDocument/2006/relationships" r:id="R28ee63210d9b4ccc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6" customHeight="1">
      <x:c r="A1" s="5" t="str">
        <x:v>Precedents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 t="str">
        <x:v>Announced / target</x:v>
      </x:c>
      <x:c r="B4" s="109" t="str">
        <x:v>Acquirer</x:v>
      </x:c>
      <x:c r="C4" s="109" t="str">
        <x:v>Headline $m</x:v>
      </x:c>
      <x:c r="D4" s="109" t="str">
        <x:v>Value basis</x:v>
      </x:c>
      <x:c r="E4" s="109" t="str">
        <x:v>EV / Revenue</x:v>
      </x:c>
      <x:c r="F4" s="109" t="str">
        <x:v>Premium</x:v>
      </x:c>
      <x:c r="G4" s="109" t="str">
        <x:v>Source</x:v>
      </x:c>
    </x:row>
    <x:row r="5" ht="48" customHeight="1">
      <x:c r="A5" s="78" t="str">
        <x:v>2024-04-24 | HashiCorp</x:v>
      </x:c>
      <x:c r="B5" s="151" t="str">
        <x:v>IBM</x:v>
      </x:c>
      <x:c r="C5" s="146" t="n">
        <x:v>6400</x:v>
      </x:c>
      <x:c r="D5" s="145" t="str">
        <x:v>Enterprise value</x:v>
      </x:c>
      <x:c r="E5" s="147" t="n">
        <x:f>C5/$B$15</x:f>
        <x:v>10.975818898988166</x:v>
      </x:c>
      <x:c r="F5" s="171" t="str">
        <x:v>—</x:v>
      </x:c>
      <x:c r="G5" s="145" t="str">
        <x:v>HCP_DEAL</x:v>
      </x:c>
    </x:row>
    <x:row r="6" ht="48" customHeight="1">
      <x:c r="A6" s="78" t="str">
        <x:v>2023-07-31 | New Relic</x:v>
      </x:c>
      <x:c r="B6" s="151" t="str">
        <x:v>FP / TPG</x:v>
      </x:c>
      <x:c r="C6" s="146" t="n">
        <x:v>6500</x:v>
      </x:c>
      <x:c r="D6" s="145" t="str">
        <x:v>Equity value</x:v>
      </x:c>
      <x:c r="E6" s="171" t="str">
        <x:v>—</x:v>
      </x:c>
      <x:c r="F6" s="150" t="n">
        <x:v>0.26</x:v>
      </x:c>
      <x:c r="G6" s="145" t="str">
        <x:v>NEWR_DEAL</x:v>
      </x:c>
    </x:row>
    <x:row r="7" ht="48" customHeight="1">
      <x:c r="A7" s="78" t="str">
        <x:v>2023-02-09 | Sumo Logic</x:v>
      </x:c>
      <x:c r="B7" s="151" t="str">
        <x:v>Francisco Partners</x:v>
      </x:c>
      <x:c r="C7" s="146" t="n">
        <x:v>1700</x:v>
      </x:c>
      <x:c r="D7" s="145" t="str">
        <x:v>Equity value</x:v>
      </x:c>
      <x:c r="E7" s="171" t="str">
        <x:v>—</x:v>
      </x:c>
      <x:c r="F7" s="150" t="n">
        <x:v>0.57</x:v>
      </x:c>
      <x:c r="G7" s="145" t="str">
        <x:v>SUMO_DEAL</x:v>
      </x:c>
    </x:row>
    <x:row r="8" ht="48" customHeight="1">
      <x:c r="A8" s="78" t="str">
        <x:v>2018-06-04 | GitHub</x:v>
      </x:c>
      <x:c r="B8" s="151" t="str">
        <x:v>Microsoft</x:v>
      </x:c>
      <x:c r="C8" s="146" t="n">
        <x:v>7500</x:v>
      </x:c>
      <x:c r="D8" s="145" t="str">
        <x:v>Stock consideration</x:v>
      </x:c>
      <x:c r="E8" s="171" t="str">
        <x:v>—</x:v>
      </x:c>
      <x:c r="F8" s="171" t="str">
        <x:v>—</x:v>
      </x:c>
      <x:c r="G8" s="145" t="str">
        <x:v>GH_DEAL</x:v>
      </x:c>
    </x:row>
    <x:row r="9" ht="48" customHeight="1">
      <x:c r="A9" s="78" t="str">
        <x:v>2017-01-24 | AppDynamics</x:v>
      </x:c>
      <x:c r="B9" s="151" t="str">
        <x:v>Cisco</x:v>
      </x:c>
      <x:c r="C9" s="146" t="n">
        <x:v>3700</x:v>
      </x:c>
      <x:c r="D9" s="145" t="str">
        <x:v>Cash and assumed awards</x:v>
      </x:c>
      <x:c r="E9" s="171" t="str">
        <x:v>—</x:v>
      </x:c>
      <x:c r="F9" s="171" t="str">
        <x:v>—</x:v>
      </x:c>
      <x:c r="G9" s="145" t="str">
        <x:v>APPD_DEAL</x:v>
      </x:c>
    </x:row>
    <x:row r="10" ht="22" customHeight="1">
      <x:c r="A10" s="78"/>
      <x:c r="B10" s="82"/>
      <x:c r="C10" s="82"/>
      <x:c r="D10" s="82"/>
      <x:c r="E10" s="82"/>
      <x:c r="F10" s="82"/>
      <x:c r="G10" s="82"/>
    </x:row>
    <x:row r="11" ht="22" customHeight="1">
      <x:c r="A11" s="78"/>
      <x:c r="B11" s="82"/>
      <x:c r="C11" s="82"/>
      <x:c r="D11" s="82"/>
      <x:c r="E11" s="82"/>
      <x:c r="F11" s="82"/>
      <x:c r="G11" s="82"/>
    </x:row>
    <x:row r="12" ht="22" customHeight="1">
      <x:c r="A12" s="78"/>
      <x:c r="B12" s="82"/>
      <x:c r="C12" s="82"/>
      <x:c r="D12" s="82"/>
      <x:c r="E12" s="82"/>
      <x:c r="F12" s="82"/>
      <x:c r="G12" s="82"/>
    </x:row>
    <x:row r="13" ht="22" customHeight="1">
      <x:c r="A13" s="78"/>
      <x:c r="B13" s="82"/>
      <x:c r="C13" s="82"/>
      <x:c r="D13" s="82"/>
      <x:c r="E13" s="82"/>
      <x:c r="F13" s="82"/>
      <x:c r="G13" s="82"/>
    </x:row>
    <x:row r="14" ht="22" customHeight="1">
      <x:c r="A14" s="78"/>
      <x:c r="B14" s="82"/>
      <x:c r="C14" s="82"/>
      <x:c r="D14" s="82"/>
      <x:c r="E14" s="82"/>
      <x:c r="F14" s="82"/>
      <x:c r="G14" s="82"/>
    </x:row>
    <x:row r="15" ht="22" customHeight="1">
      <x:c r="A15" s="78" t="str">
        <x:v>HashiCorp FY24 revenue at announcement</x:v>
      </x:c>
      <x:c r="B15" s="95" t="n">
        <x:v>583.1</x:v>
      </x:c>
      <x:c r="C15" s="82"/>
      <x:c r="D15" s="82"/>
      <x:c r="E15" s="82"/>
      <x:c r="F15" s="82"/>
      <x:c r="G15" s="82"/>
    </x:row>
    <x:row r="16" ht="22" customHeight="1">
      <x:c r="A16" s="78" t="str">
        <x:v>GitLab value at HashiCorp multiple</x:v>
      </x:c>
      <x:c r="B16" s="84" t="n">
        <x:f>(E5*'04_GTLB_Historical'!G5+'07_Valuation_DCF'!B25)/'08_Transaction'!B10</x:f>
        <x:v>73.98523284743322</x:v>
      </x:c>
      <x:c r="C16" s="82"/>
      <x:c r="D16" s="82"/>
      <x:c r="E16" s="82"/>
      <x:c r="F16" s="82"/>
      <x:c r="G16" s="82"/>
    </x:row>
    <x:row r="17" ht="22" customHeight="1">
      <x:c r="A17" s="78"/>
      <x:c r="B17" s="82"/>
      <x:c r="C17" s="82"/>
      <x:c r="D17" s="82"/>
      <x:c r="E17" s="82"/>
      <x:c r="F17" s="82"/>
      <x:c r="G17" s="82"/>
    </x:row>
    <x:row r="18" ht="22" customHeight="1">
      <x:c r="A18" s="78"/>
      <x:c r="B18" s="82"/>
      <x:c r="C18" s="82"/>
      <x:c r="D18" s="82"/>
      <x:c r="E18" s="82"/>
      <x:c r="F18" s="82"/>
      <x:c r="G18" s="82"/>
    </x:row>
    <x:row r="19" ht="20" customHeight="1">
      <x:c r="A19" s="7" t="str">
        <x:v>Only HashiCorp has a directly supportable EV / revenue marker in this source set. Other transactions are shown as strategic references; non-comparable multiples are omitted rather than estimated.</x:v>
      </x:c>
      <x:c r="B19" s="81"/>
      <x:c r="C19" s="81"/>
      <x:c r="D19" s="81"/>
      <x:c r="E19" s="81"/>
      <x:c r="F19" s="81"/>
      <x:c r="G19" s="81"/>
    </x:row>
    <x:row r="20" ht="20" customHeight="1">
      <x:c r="A20" s="7"/>
      <x:c r="B20" s="81"/>
      <x:c r="C20" s="81"/>
      <x:c r="D20" s="81"/>
      <x:c r="E20" s="81"/>
      <x:c r="F20" s="81"/>
      <x:c r="G20" s="81"/>
    </x:row>
    <x:row r="21" ht="22" customHeight="1">
      <x:c r="A21" s="78"/>
      <x:c r="B21" s="82"/>
      <x:c r="C21" s="82"/>
      <x:c r="D21" s="82"/>
      <x:c r="E21" s="82"/>
      <x:c r="F21" s="82"/>
      <x:c r="G21" s="82"/>
    </x:row>
    <x:row r="22" ht="20" customHeight="1">
      <x:c r="A22" s="7" t="str">
        <x:v>New Relic premium: 26% to 30-day VWAP. Sumo premium: 57% to unaffected 20 Jan 2023 close. These bases differ and are not averaged. GitHub / AppDynamics are older private-target references.</x:v>
      </x:c>
      <x:c r="B22" s="81"/>
      <x:c r="C22" s="81"/>
      <x:c r="D22" s="81"/>
      <x:c r="E22" s="81"/>
      <x:c r="F22" s="81"/>
      <x:c r="G22" s="81"/>
    </x:row>
    <x:row r="23" ht="20" customHeight="1">
      <x:c r="A23" s="7"/>
      <x:c r="B23" s="81"/>
      <x:c r="C23" s="81"/>
      <x:c r="D23" s="81"/>
      <x:c r="E23" s="81"/>
      <x:c r="F23" s="81"/>
      <x:c r="G23" s="81"/>
    </x:row>
    <x:row r="24" ht="22" customHeight="1">
      <x:c r="A24" s="78"/>
      <x:c r="B24" s="82"/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19:G20"/>
    <x:mergeCell ref="A22:G23"/>
  </x:mergeCells>
  <x:pageMargins left="0.7" right="0.7" top="0.75" bottom="0.75" header="0.3" footer="0.3"/>
  <x:legacyDrawing xmlns:r="http://schemas.openxmlformats.org/officeDocument/2006/relationships" r:id="Rda9cd90761e54e9f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Opening Balance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 t="str">
        <x:v>Line item</x:v>
      </x:c>
      <x:c r="B4" s="109" t="str">
        <x:v>CRM Jul26</x:v>
      </x:c>
      <x:c r="C4" s="109" t="str">
        <x:v>GTLB Jul26</x:v>
      </x:c>
      <x:c r="D4" s="109" t="str">
        <x:v>Deal adjustments</x:v>
      </x:c>
      <x:c r="E4" s="109" t="str">
        <x:v>Pro forma</x:v>
      </x:c>
      <x:c r="F4" s="109"/>
      <x:c r="G4" s="109"/>
    </x:row>
    <x:row r="5" ht="22" customHeight="1">
      <x:c r="A5" s="78" t="str">
        <x:v>Cash and liquid securities</x:v>
      </x:c>
      <x:c r="B5" s="83" t="n">
        <x:f>SUM('02_CRM_Historical'!B34:B35)</x:f>
        <x:v>11403</x:v>
      </x:c>
      <x:c r="C5" s="83" t="n">
        <x:f>SUM('04_GTLB_Historical'!B34:B35)</x:f>
        <x:v>1256.9859999999999</x:v>
      </x:c>
      <x:c r="D5" s="83" t="n">
        <x:f>-'09_Sources_Uses'!B12</x:f>
        <x:v>-2830.2887977031246</x:v>
      </x:c>
      <x:c r="E5" s="112" t="n">
        <x:f>SUM(B5:D5)</x:f>
        <x:v>9829.697202296877</x:v>
      </x:c>
      <x:c r="F5" s="82"/>
      <x:c r="G5" s="82"/>
    </x:row>
    <x:row r="6" ht="22" customHeight="1">
      <x:c r="A6" s="78" t="str">
        <x:v>Other assets excluding goodwill</x:v>
      </x:c>
      <x:c r="B6" s="83" t="n">
        <x:f>'02_CRM_Historical'!B37-B5-B7</x:f>
        <x:v>38967</x:v>
      </x:c>
      <x:c r="C6" s="83" t="n">
        <x:f>'04_GTLB_Historical'!B37-C5-C7</x:f>
        <x:v>387.4000000000002</x:v>
      </x:c>
      <x:c r="D6" s="83" t="n">
        <x:f>'10_Purchase_Accounting'!B11</x:f>
        <x:v>3348.1086756249993</x:v>
      </x:c>
      <x:c r="E6" s="112" t="n">
        <x:f>SUM(B6:D6)</x:f>
        <x:v>42702.508675625</x:v>
      </x:c>
      <x:c r="F6" s="82"/>
      <x:c r="G6" s="82"/>
    </x:row>
    <x:row r="7" ht="22" customHeight="1">
      <x:c r="A7" s="78" t="str">
        <x:v>Goodwill</x:v>
      </x:c>
      <x:c r="B7" s="83" t="n">
        <x:f>'02_CRM_Historical'!B41</x:f>
        <x:v>59250</x:v>
      </x:c>
      <x:c r="C7" s="83" t="n">
        <x:f>'04_GTLB_Historical'!B41</x:f>
        <x:v>17.446</x:v>
      </x:c>
      <x:c r="D7" s="83" t="n">
        <x:f>'10_Purchase_Accounting'!B14-C7</x:f>
        <x:v>7244.120650646875</x:v>
      </x:c>
      <x:c r="E7" s="112" t="n">
        <x:f>SUM(B7:D7)</x:f>
        <x:v>66511.56665064688</x:v>
      </x:c>
      <x:c r="F7" s="82"/>
      <x:c r="G7" s="82"/>
    </x:row>
    <x:row r="8" ht="22" customHeight="1">
      <x:c r="A8" s="110" t="str">
        <x:v>Total assets</x:v>
      </x:c>
      <x:c r="B8" s="119" t="n">
        <x:f>'02_CRM_Historical'!B37</x:f>
        <x:v>109620</x:v>
      </x:c>
      <x:c r="C8" s="119" t="n">
        <x:f>'04_GTLB_Historical'!B37</x:f>
        <x:v>1661.832</x:v>
      </x:c>
      <x:c r="D8" s="113" t="n">
        <x:f>SUM(D5:D7)</x:f>
        <x:v>7761.94052856875</x:v>
      </x:c>
      <x:c r="E8" s="113" t="n">
        <x:f>SUM(B8:D8)</x:f>
        <x:v>119043.77252856875</x:v>
      </x:c>
      <x:c r="F8" s="122"/>
      <x:c r="G8" s="122"/>
    </x:row>
    <x:row r="9" ht="22" customHeight="1">
      <x:c r="A9" s="78"/>
      <x:c r="B9" s="82"/>
      <x:c r="C9" s="82"/>
      <x:c r="D9" s="82"/>
      <x:c r="E9" s="82"/>
      <x:c r="F9" s="82"/>
      <x:c r="G9" s="82"/>
    </x:row>
    <x:row r="10" ht="22" customHeight="1">
      <x:c r="A10" s="78" t="str">
        <x:v>Debt carrying value</x:v>
      </x:c>
      <x:c r="B10" s="83" t="n">
        <x:f>'02_CRM_Historical'!B36</x:f>
        <x:v>39288</x:v>
      </x:c>
      <x:c r="C10" s="83" t="n">
        <x:f>'04_GTLB_Historical'!B36</x:f>
        <x:v>0</x:v>
      </x:c>
      <x:c r="D10" s="83" t="n">
        <x:f>'09_Sources_Uses'!B13-'09_Sources_Uses'!B6-'09_Sources_Uses'!B8</x:f>
        <x:v>2642.497123921875</x:v>
      </x:c>
      <x:c r="E10" s="112" t="n">
        <x:f>SUM(B10:D10)</x:f>
        <x:v>41930.49712392187</x:v>
      </x:c>
      <x:c r="F10" s="82"/>
      <x:c r="G10" s="82"/>
    </x:row>
    <x:row r="11" ht="22" customHeight="1">
      <x:c r="A11" s="78" t="str">
        <x:v>Other liabilities</x:v>
      </x:c>
      <x:c r="B11" s="83" t="n">
        <x:f>'02_CRM_Historical'!B38-B10</x:f>
        <x:v>31954</x:v>
      </x:c>
      <x:c r="C11" s="83" t="n">
        <x:f>'04_GTLB_Historical'!B38-C10</x:f>
        <x:v>690.345</x:v>
      </x:c>
      <x:c r="D11" s="83" t="n">
        <x:f>-'10_Purchase_Accounting'!B12</x:f>
        <x:v>786.8055387718748</x:v>
      </x:c>
      <x:c r="E11" s="112" t="n">
        <x:f>SUM(B11:D11)</x:f>
        <x:v>33431.15053877188</x:v>
      </x:c>
      <x:c r="F11" s="82"/>
      <x:c r="G11" s="82"/>
    </x:row>
    <x:row r="12" ht="22" customHeight="1">
      <x:c r="A12" s="110" t="str">
        <x:v>Total liabilities</x:v>
      </x:c>
      <x:c r="B12" s="119" t="n">
        <x:f>'02_CRM_Historical'!B38</x:f>
        <x:v>71242</x:v>
      </x:c>
      <x:c r="C12" s="119" t="n">
        <x:f>'04_GTLB_Historical'!B38</x:f>
        <x:v>690.345</x:v>
      </x:c>
      <x:c r="D12" s="113" t="n">
        <x:f>SUM(D10:D11)</x:f>
        <x:v>3429.30266269375</x:v>
      </x:c>
      <x:c r="E12" s="113" t="n">
        <x:f>SUM(B12:D12)</x:f>
        <x:v>75361.64766269375</x:v>
      </x:c>
      <x:c r="F12" s="122"/>
      <x:c r="G12" s="122"/>
    </x:row>
    <x:row r="13" ht="22" customHeight="1">
      <x:c r="A13" s="78"/>
      <x:c r="B13" s="82"/>
      <x:c r="C13" s="82"/>
      <x:c r="D13" s="82"/>
      <x:c r="E13" s="82"/>
      <x:c r="F13" s="82"/>
      <x:c r="G13" s="82"/>
    </x:row>
    <x:row r="14" ht="22" customHeight="1">
      <x:c r="A14" s="78" t="str">
        <x:v>Parent equity</x:v>
      </x:c>
      <x:c r="B14" s="83" t="n">
        <x:f>'02_CRM_Historical'!B39</x:f>
        <x:v>38378</x:v>
      </x:c>
      <x:c r="C14" s="83" t="n">
        <x:f>'04_GTLB_Historical'!B39</x:f>
        <x:v>925.529</x:v>
      </x:c>
      <x:c r="D14" s="83" t="n">
        <x:f>-C14+'09_Sources_Uses'!B14-'09_Sources_Uses'!B7</x:f>
        <x:v>4332.637865874999</x:v>
      </x:c>
      <x:c r="E14" s="112" t="n">
        <x:f>SUM(B14:D14)</x:f>
        <x:v>43636.166865875</x:v>
      </x:c>
      <x:c r="F14" s="82"/>
      <x:c r="G14" s="82"/>
    </x:row>
    <x:row r="15" ht="22" customHeight="1">
      <x:c r="A15" s="78" t="str">
        <x:v>Noncontrolling interest</x:v>
      </x:c>
      <x:c r="B15" s="83" t="n">
        <x:f>'02_CRM_Historical'!B40</x:f>
        <x:v>0</x:v>
      </x:c>
      <x:c r="C15" s="83" t="n">
        <x:f>'04_GTLB_Historical'!B40</x:f>
        <x:v>45.958</x:v>
      </x:c>
      <x:c r="D15" s="112" t="n">
        <x:f>0</x:f>
        <x:v>0</x:v>
      </x:c>
      <x:c r="E15" s="112" t="n">
        <x:f>SUM(B15:D15)</x:f>
        <x:v>45.958</x:v>
      </x:c>
      <x:c r="F15" s="82"/>
      <x:c r="G15" s="82"/>
    </x:row>
    <x:row r="16" ht="22" customHeight="1">
      <x:c r="A16" s="110" t="str">
        <x:v>Total equity</x:v>
      </x:c>
      <x:c r="B16" s="113" t="n">
        <x:f>SUM(B14:B15)</x:f>
        <x:v>38378</x:v>
      </x:c>
      <x:c r="C16" s="113" t="n">
        <x:f>SUM(C14:C15)</x:f>
        <x:v>971.487</x:v>
      </x:c>
      <x:c r="D16" s="113" t="n">
        <x:f>SUM(D14:D15)</x:f>
        <x:v>4332.637865874999</x:v>
      </x:c>
      <x:c r="E16" s="113" t="n">
        <x:f>SUM(B16:D16)</x:f>
        <x:v>43682.124865875</x:v>
      </x:c>
      <x:c r="F16" s="122"/>
      <x:c r="G16" s="122"/>
    </x:row>
    <x:row r="17" ht="22" customHeight="1">
      <x:c r="A17" s="78"/>
      <x:c r="B17" s="82"/>
      <x:c r="C17" s="82"/>
      <x:c r="D17" s="82"/>
      <x:c r="E17" s="82"/>
      <x:c r="F17" s="82"/>
      <x:c r="G17" s="82"/>
    </x:row>
    <x:row r="18" ht="22" customHeight="1">
      <x:c r="A18" s="110" t="str">
        <x:v>Assets less liabilities and equity</x:v>
      </x:c>
      <x:c r="B18" s="113" t="n">
        <x:f>B8-B12-B16</x:f>
        <x:v>0</x:v>
      </x:c>
      <x:c r="C18" s="113" t="n">
        <x:f>C8-C12-C16</x:f>
        <x:v>1.1368683772161603e-13</x:v>
      </x:c>
      <x:c r="D18" s="113" t="n">
        <x:f>D8-D12-D16</x:f>
        <x:v>9.094947017729282e-13</x:v>
      </x:c>
      <x:c r="E18" s="113" t="n">
        <x:f>E8-E12-E16</x:f>
        <x:v>0</x:v>
      </x:c>
      <x:c r="F18" s="122"/>
      <x:c r="G18" s="122"/>
    </x:row>
    <x:row r="19" ht="22" customHeight="1">
      <x:c r="A19" s="78"/>
      <x:c r="B19" s="82"/>
      <x:c r="C19" s="82"/>
      <x:c r="D19" s="82"/>
      <x:c r="E19" s="82"/>
      <x:c r="F19" s="82"/>
      <x:c r="G19" s="82"/>
    </x:row>
    <x:row r="20" ht="22" customHeight="1">
      <x:c r="A20" s="78"/>
      <x:c r="B20" s="82"/>
      <x:c r="C20" s="82"/>
      <x:c r="D20" s="82"/>
      <x:c r="E20" s="82"/>
      <x:c r="F20" s="82"/>
      <x:c r="G20" s="82"/>
    </x:row>
    <x:row r="21" ht="20" customHeight="1">
      <x:c r="A21" s="7" t="str">
        <x:v>Static closing balance uses July 2026 balance sheets; no forecast balance-sheet roll-forward. Acquisition cash paid, target equity eliminated, existing goodwill removed, fees expensed; debt fees reduce debt carrying value.</x:v>
      </x:c>
      <x:c r="B21" s="81"/>
      <x:c r="C21" s="81"/>
      <x:c r="D21" s="81"/>
      <x:c r="E21" s="81"/>
      <x:c r="F21" s="81"/>
      <x:c r="G21" s="81"/>
    </x:row>
    <x:row r="22" ht="20" customHeight="1">
      <x:c r="A22" s="7"/>
      <x:c r="B22" s="81"/>
      <x:c r="C22" s="81"/>
      <x:c r="D22" s="81"/>
      <x:c r="E22" s="81"/>
      <x:c r="F22" s="81"/>
      <x:c r="G22" s="81"/>
    </x:row>
    <x:row r="23" ht="22" customHeight="1">
      <x:c r="A23" s="78"/>
      <x:c r="B23" s="82"/>
      <x:c r="C23" s="82"/>
      <x:c r="D23" s="82"/>
      <x:c r="E23" s="82"/>
      <x:c r="F23" s="82"/>
      <x:c r="G23" s="82"/>
    </x:row>
    <x:row r="24" ht="22" customHeight="1">
      <x:c r="A24" s="78"/>
      <x:c r="B24" s="82"/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2" customHeight="1">
      <x:c r="A27" s="78"/>
      <x:c r="B27" s="82"/>
      <x:c r="C27" s="82"/>
      <x:c r="D27" s="82"/>
      <x:c r="E27" s="82"/>
      <x:c r="F27" s="82"/>
      <x:c r="G27" s="82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21:G2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Checks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2" customHeight="1">
      <x:c r="A5" s="78" t="str">
        <x:v>Sources = Uses</x:v>
      </x:c>
      <x:c r="B5" s="165" t="n">
        <x:f>'09_Sources_Uses'!B17</x:f>
        <x:v>-1.8189894035458565e-12</x:v>
      </x:c>
      <x:c r="C5" s="83" t="str">
        <x:f>IF(ABS(B5)&lt;'01_Assumptions'!$B$64,"OK","ERROR")</x:f>
        <x:v>OK</x:v>
      </x:c>
      <x:c r="D5" s="82"/>
      <x:c r="E5" s="82"/>
      <x:c r="F5" s="82"/>
      <x:c r="G5" s="82"/>
    </x:row>
    <x:row r="6" ht="22" customHeight="1">
      <x:c r="A6" s="78" t="str">
        <x:v>Financing weights = 100%</x:v>
      </x:c>
      <x:c r="B6" s="165" t="n">
        <x:f>SUM('01_Assumptions'!$B$11,'01_Assumptions'!$B$12,'01_Assumptions'!$B$13)-1</x:f>
        <x:v>0</x:v>
      </x:c>
      <x:c r="C6" s="83" t="str">
        <x:f>IF(ABS(B6)&lt;'01_Assumptions'!$B$64,"OK","ERROR")</x:f>
        <x:v>OK</x:v>
      </x:c>
      <x:c r="D6" s="82"/>
      <x:c r="E6" s="82"/>
      <x:c r="F6" s="82"/>
      <x:c r="G6" s="82"/>
    </x:row>
    <x:row r="7" ht="22" customHeight="1">
      <x:c r="A7" s="78" t="str">
        <x:v>Target reported balance sheet</x:v>
      </x:c>
      <x:c r="B7" s="165" t="n">
        <x:f>'04_GTLB_Historical'!B44</x:f>
        <x:v>0</x:v>
      </x:c>
      <x:c r="C7" s="83" t="str">
        <x:f>IF(ABS(B7)&lt;'01_Assumptions'!$B$64,"OK","ERROR")</x:f>
        <x:v>OK</x:v>
      </x:c>
      <x:c r="D7" s="82"/>
      <x:c r="E7" s="82"/>
      <x:c r="F7" s="82"/>
      <x:c r="G7" s="82"/>
    </x:row>
    <x:row r="8" ht="22" customHeight="1">
      <x:c r="A8" s="78" t="str">
        <x:v>CRM reported balance sheet</x:v>
      </x:c>
      <x:c r="B8" s="165" t="n">
        <x:f>'02_CRM_Historical'!B44</x:f>
        <x:v>0</x:v>
      </x:c>
      <x:c r="C8" s="83" t="str">
        <x:f>IF(ABS(B8)&lt;'01_Assumptions'!$B$64,"OK","ERROR")</x:f>
        <x:v>OK</x:v>
      </x:c>
      <x:c r="D8" s="82"/>
      <x:c r="E8" s="82"/>
      <x:c r="F8" s="82"/>
      <x:c r="G8" s="82"/>
    </x:row>
    <x:row r="9" ht="22" customHeight="1">
      <x:c r="A9" s="78" t="str">
        <x:v>Opening pro forma balances</x:v>
      </x:c>
      <x:c r="B9" s="165" t="n">
        <x:f>'17_Opening_Balance'!E18</x:f>
        <x:v>0</x:v>
      </x:c>
      <x:c r="C9" s="83" t="str">
        <x:f>IF(ABS(B9)&lt;'01_Assumptions'!$B$64,"OK","ERROR")</x:f>
        <x:v>OK</x:v>
      </x:c>
      <x:c r="D9" s="82"/>
      <x:c r="E9" s="82"/>
      <x:c r="F9" s="82"/>
      <x:c r="G9" s="82"/>
    </x:row>
    <x:row r="10" ht="22" customHeight="1">
      <x:c r="A10" s="78" t="str">
        <x:v>PPA reconciles</x:v>
      </x:c>
      <x:c r="B10" s="165" t="n">
        <x:f>'10_Purchase_Accounting'!B24</x:f>
        <x:v>0</x:v>
      </x:c>
      <x:c r="C10" s="83" t="str">
        <x:f>IF(ABS(B10)&lt;'01_Assumptions'!$B$64,"OK","ERROR")</x:f>
        <x:v>OK</x:v>
      </x:c>
      <x:c r="D10" s="82"/>
      <x:c r="E10" s="82"/>
      <x:c r="F10" s="82"/>
      <x:c r="G10" s="82"/>
    </x:row>
    <x:row r="11" ht="22" customHeight="1">
      <x:c r="A11" s="78" t="str">
        <x:v>Intangible allocation = 100%</x:v>
      </x:c>
      <x:c r="B11" s="165" t="n">
        <x:f>SUM('01_Assumptions'!$B$23,'01_Assumptions'!$B$24,'01_Assumptions'!$B$25)-1</x:f>
        <x:v>0</x:v>
      </x:c>
      <x:c r="C11" s="83" t="str">
        <x:f>IF(ABS(B11)&lt;'01_Assumptions'!$B$64,"OK","ERROR")</x:f>
        <x:v>OK</x:v>
      </x:c>
      <x:c r="D11" s="82"/>
      <x:c r="E11" s="82"/>
      <x:c r="F11" s="82"/>
      <x:c r="G11" s="82"/>
    </x:row>
    <x:row r="12" ht="22" customHeight="1">
      <x:c r="A12" s="78" t="str">
        <x:v>Shares reconcile</x:v>
      </x:c>
      <x:c r="B12" s="165" t="n">
        <x:f>'12_Pro_Forma'!B32-'12_Pro_Forma'!B30-'09_Sources_Uses'!B18</x:f>
        <x:v>4.618527782440651e-14</x:v>
      </x:c>
      <x:c r="C12" s="83" t="str">
        <x:f>IF(ABS(B12)&lt;'01_Assumptions'!$B$64,"OK","ERROR")</x:f>
        <x:v>OK</x:v>
      </x:c>
      <x:c r="D12" s="82"/>
      <x:c r="E12" s="82"/>
      <x:c r="F12" s="82"/>
      <x:c r="G12" s="82"/>
    </x:row>
    <x:row r="13" ht="22" customHeight="1">
      <x:c r="A13" s="78" t="str">
        <x:v>DCF FCF bridge</x:v>
      </x:c>
      <x:c r="B13" s="165" t="n">
        <x:f>'07_Valuation_DCF'!G12-('07_Valuation_DCF'!G8+'07_Valuation_DCF'!G9-'07_Valuation_DCF'!G10-'07_Valuation_DCF'!G11)</x:f>
        <x:v>0</x:v>
      </x:c>
      <x:c r="C13" s="83" t="str">
        <x:f>IF(ABS(B13)&lt;'01_Assumptions'!$B$64,"OK","ERROR")</x:f>
        <x:v>OK</x:v>
      </x:c>
      <x:c r="D13" s="82"/>
      <x:c r="E13" s="82"/>
      <x:c r="F13" s="82"/>
      <x:c r="G13" s="82"/>
    </x:row>
    <x:row r="14" ht="22" customHeight="1">
      <x:c r="A14" s="78" t="str">
        <x:v>DCF sensitivity base ties</x:v>
      </x:c>
      <x:c r="B14" s="165" t="n">
        <x:f>'14_Sensitivities'!D73-'07_Valuation_DCF'!B27</x:f>
        <x:v>0</x:v>
      </x:c>
      <x:c r="C14" s="83" t="str">
        <x:f>IF(ABS(B14)&lt;'01_Assumptions'!$B$64,"OK","ERROR")</x:f>
        <x:v>OK</x:v>
      </x:c>
      <x:c r="D14" s="82"/>
      <x:c r="E14" s="82"/>
      <x:c r="F14" s="82"/>
      <x:c r="G14" s="82"/>
    </x:row>
    <x:row r="15" ht="22" customHeight="1">
      <x:c r="A15" s="78" t="str">
        <x:v>Financing sensitivity base ties</x:v>
      </x:c>
      <x:c r="B15" s="165" t="n">
        <x:f>'14_Sensitivities'!N66-'13_Accretion_Dilution'!D7</x:f>
        <x:v>-2.220446049250313e-16</x:v>
      </x:c>
      <x:c r="C15" s="83" t="str">
        <x:f>IF(ABS(B15)&lt;'01_Assumptions'!$B$64,"OK","ERROR")</x:f>
        <x:v>OK</x:v>
      </x:c>
      <x:c r="D15" s="82"/>
      <x:c r="E15" s="82"/>
      <x:c r="F15" s="82"/>
      <x:c r="G15" s="82"/>
    </x:row>
    <x:row r="16" ht="22" customHeight="1">
      <x:c r="A16" s="78" t="str">
        <x:v>EPS-neutral savings suffice</x:v>
      </x:c>
      <x:c r="B16" s="165" t="n">
        <x:f>MAX(0,'13_Accretion_Dilution'!D5-('12_Pro_Forma'!D29+('13_Accretion_Dilution'!D16-'11_Synergies'!D9)*'01_Assumptions'!$B$35*(1-'01_Assumptions'!$B$16))/'12_Pro_Forma'!D32)</x:f>
        <x:v>0</x:v>
      </x:c>
      <x:c r="C16" s="83" t="str">
        <x:f>IF(ABS(B16)&lt;'01_Assumptions'!$B$64,"OK","ERROR")</x:f>
        <x:v>OK</x:v>
      </x:c>
      <x:c r="D16" s="82"/>
      <x:c r="E16" s="82"/>
      <x:c r="F16" s="82"/>
      <x:c r="G16" s="82"/>
    </x:row>
    <x:row r="17" ht="22" customHeight="1">
      <x:c r="A17" s="78" t="str">
        <x:v>WACC exceeds growth</x:v>
      </x:c>
      <x:c r="B17" s="165" t="n">
        <x:f>IF('01_Assumptions'!$B$40&gt;'01_Assumptions'!$B$41,0,1)</x:f>
        <x:v>0</x:v>
      </x:c>
      <x:c r="C17" s="83" t="str">
        <x:f>IF(ABS(B17)&lt;'01_Assumptions'!$B$64,"OK","ERROR")</x:f>
        <x:v>OK</x:v>
      </x:c>
      <x:c r="D17" s="82"/>
      <x:c r="E17" s="82"/>
      <x:c r="F17" s="82"/>
      <x:c r="G17" s="82"/>
    </x:row>
    <x:row r="18" ht="22" customHeight="1">
      <x:c r="A18" s="78" t="str">
        <x:v>No negative funding percentages</x:v>
      </x:c>
      <x:c r="B18" s="165" t="n">
        <x:f>IF(MIN('01_Assumptions'!$B$11,'01_Assumptions'!$B$12,'01_Assumptions'!$B$13)&gt;=0,0,1)</x:f>
        <x:v>0</x:v>
      </x:c>
      <x:c r="C18" s="83" t="str">
        <x:f>IF(ABS(B18)&lt;'01_Assumptions'!$B$64,"OK","ERROR")</x:f>
        <x:v>OK</x:v>
      </x:c>
      <x:c r="D18" s="82"/>
      <x:c r="E18" s="82"/>
      <x:c r="F18" s="82"/>
      <x:c r="G18" s="82"/>
    </x:row>
    <x:row r="19" ht="22" customHeight="1">
      <x:c r="A19" s="78"/>
      <x:c r="B19" s="82"/>
      <x:c r="C19" s="82"/>
      <x:c r="D19" s="82"/>
      <x:c r="E19" s="82"/>
      <x:c r="F19" s="82"/>
      <x:c r="G19" s="82"/>
    </x:row>
    <x:row r="20" ht="22" customHeight="1">
      <x:c r="A20" s="78"/>
      <x:c r="B20" s="82"/>
      <x:c r="C20" s="82"/>
      <x:c r="D20" s="82"/>
      <x:c r="E20" s="82"/>
      <x:c r="F20" s="82"/>
      <x:c r="G20" s="82"/>
    </x:row>
    <x:row r="21" ht="22" customHeight="1">
      <x:c r="A21" s="78" t="str">
        <x:v>Total errors (43 controls)</x:v>
      </x:c>
      <x:c r="B21" s="83" t="n">
        <x:f>COUNTIF(C5:C18,"ERROR")+'20_Review'!B38+'20_Review'!B52</x:f>
        <x:v>0</x:v>
      </x:c>
      <x:c r="C21" s="82"/>
      <x:c r="D21" s="82"/>
      <x:c r="E21" s="82"/>
      <x:c r="F21" s="82"/>
      <x:c r="G21" s="82"/>
    </x:row>
    <x:row r="22" ht="22" customHeight="1">
      <x:c r="A22" s="78"/>
      <x:c r="B22" s="82"/>
      <x:c r="C22" s="82"/>
      <x:c r="D22" s="82"/>
      <x:c r="E22" s="82"/>
      <x:c r="F22" s="82"/>
      <x:c r="G22" s="82"/>
    </x:row>
    <x:row r="23" ht="22" customHeight="1">
      <x:c r="A23" s="78" t="str">
        <x:v>Cash feasibility</x:v>
      </x:c>
      <x:c r="B23" s="172" t="str">
        <x:f>'09_Sources_Uses'!B29</x:f>
        <x:v>FEASIBLE</x:v>
      </x:c>
      <x:c r="C23" s="82"/>
      <x:c r="D23" s="82"/>
      <x:c r="E23" s="82"/>
      <x:c r="F23" s="82"/>
      <x:c r="G23" s="82"/>
    </x:row>
    <x:row r="24" ht="22" customHeight="1">
      <x:c r="A24" s="78" t="str">
        <x:v>Model scope</x:v>
      </x:c>
      <x:c r="B24" s="173" t="str">
        <x:v>See 20_Review for source reconciliations and input controls</x:v>
      </x:c>
      <x:c r="C24" s="82"/>
      <x:c r="D24" s="82"/>
      <x:c r="E24" s="82"/>
      <x:c r="F24" s="82"/>
      <x:c r="G24" s="82"/>
    </x:row>
    <x:row r="25" ht="22" customHeight="1">
      <x:c r="A25" s="78"/>
      <x:c r="B25" s="82"/>
      <x:c r="C25" s="82"/>
      <x:c r="D25" s="82"/>
      <x:c r="E25" s="82"/>
      <x:c r="F25" s="82"/>
      <x:c r="G25" s="82"/>
    </x:row>
    <x:row r="26" ht="22" customHeight="1">
      <x:c r="A26" s="78"/>
      <x:c r="B26" s="82"/>
      <x:c r="C26" s="82"/>
      <x:c r="D26" s="82"/>
      <x:c r="E26" s="82"/>
      <x:c r="F26" s="82"/>
      <x:c r="G26" s="82"/>
    </x:row>
    <x:row r="27" ht="20" customHeight="1">
      <x:c r="A27" s="7" t="str">
        <x:v>Checks validate arithmetic and internal consistency; assumptions remain subject to standard transaction diligence. Closing balance is a static July snapshot.</x:v>
      </x:c>
      <x:c r="B27" s="81"/>
      <x:c r="C27" s="81"/>
      <x:c r="D27" s="81"/>
      <x:c r="E27" s="81"/>
      <x:c r="F27" s="81"/>
      <x:c r="G27" s="81"/>
    </x:row>
    <x:row r="28" ht="20" customHeight="1">
      <x:c r="A28" s="7"/>
      <x:c r="B28" s="81"/>
      <x:c r="C28" s="81"/>
      <x:c r="D28" s="81"/>
      <x:c r="E28" s="81"/>
      <x:c r="F28" s="81"/>
      <x:c r="G28" s="81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27:G28"/>
    <x:mergeCell ref="B24:G24"/>
  </x:mergeCells>
  <x:conditionalFormatting sqref="C5:C18">
    <x:cfRule type="containsText" dxfId="0" priority="1" operator="containsText" text="ERROR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Sources</x:v>
      </x:c>
      <x:c r="B1" s="5"/>
      <x:c r="C1" s="5"/>
      <x:c r="D1" s="5"/>
      <x:c r="E1" s="5"/>
      <x:c r="F1" s="5"/>
      <x:c r="G1" s="5"/>
    </x:row>
    <x:row r="2" ht="20" customHeight="1">
      <x:c r="A2" s="7" t="str">
        <x:v>Potential transaction | USD millions, shares millions, except per share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 t="str">
        <x:v>ID</x:v>
      </x:c>
      <x:c r="B4" s="109" t="str">
        <x:v>Publication</x:v>
      </x:c>
      <x:c r="C4" s="109" t="str">
        <x:v>Date</x:v>
      </x:c>
      <x:c r="D4" s="109" t="str">
        <x:v>URL</x:v>
      </x:c>
      <x:c r="E4" s="109"/>
      <x:c r="F4" s="109"/>
      <x:c r="G4" s="109"/>
    </x:row>
    <x:row r="5" ht="60" customHeight="1">
      <x:c r="A5" s="75" t="str">
        <x:v>CRM_K26</x:v>
      </x:c>
      <x:c r="B5" s="138" t="str">
        <x:v>Salesforce FY2026 10-K; annual statements FY2024-26</x:v>
      </x:c>
      <x:c r="C5" s="138" t="str">
        <x:v>2026-03-02</x:v>
      </x:c>
      <x:c r="D5" s="138" t="str">
        <x:v>https://d18rn0p25nwr6d.cloudfront.net/CIK-0001108524/c44246da-3bfa-4f76-beb5-d9270f4e339f.html</x:v>
      </x:c>
      <x:c r="E5" s="138"/>
      <x:c r="F5" s="138"/>
      <x:c r="G5" s="138"/>
    </x:row>
    <x:row r="6" ht="60" customHeight="1">
      <x:c r="A6" s="75" t="str">
        <x:v>CRM_Q27</x:v>
      </x:c>
      <x:c r="B6" s="138" t="str">
        <x:v>Salesforce Q2 FY2027 earnings release; H1 and balance sheet</x:v>
      </x:c>
      <x:c r="C6" s="138" t="str">
        <x:v>2026-08-26</x:v>
      </x:c>
      <x:c r="D6" s="138" t="str">
        <x:v>https://investor.salesforce.com/news/news-details/2026/Salesforce-Delivers-Record-Second-Quarter-Fiscal-2027-Results/default.aspx</x:v>
      </x:c>
      <x:c r="E6" s="138"/>
      <x:c r="F6" s="138"/>
      <x:c r="G6" s="138"/>
    </x:row>
    <x:row r="7" ht="60" customHeight="1">
      <x:c r="A7" s="75" t="str">
        <x:v>CRM_F26</x:v>
      </x:c>
      <x:c r="B7" s="138" t="str">
        <x:v>Salesforce FY2026 earnings release; cash flow and balance sheet</x:v>
      </x:c>
      <x:c r="C7" s="138" t="str">
        <x:v>2026-02-25</x:v>
      </x:c>
      <x:c r="D7" s="138" t="str">
        <x:v>https://investor.salesforce.com/news/news-details/2026/Salesforce-Delivers-Record-Fourth-Quarter-Fiscal-2026-Results/default.aspx</x:v>
      </x:c>
      <x:c r="E7" s="138"/>
      <x:c r="F7" s="138"/>
      <x:c r="G7" s="138"/>
    </x:row>
    <x:row r="8" ht="60" customHeight="1">
      <x:c r="A8" s="75" t="str">
        <x:v>GTLB_F26</x:v>
      </x:c>
      <x:c r="B8" s="138" t="str">
        <x:v>GitLab FY2026 earnings release filed as SEC exhibit; FY2025 comparative</x:v>
      </x:c>
      <x:c r="C8" s="138" t="str">
        <x:v>2026-03-03</x:v>
      </x:c>
      <x:c r="D8" s="138" t="str">
        <x:v>https://www.sec.gov/Archives/edgar/data/1653482/000162828026013795/gitlab-ex99120260131fy26.htm</x:v>
      </x:c>
      <x:c r="E8" s="138"/>
      <x:c r="F8" s="138"/>
      <x:c r="G8" s="138"/>
    </x:row>
    <x:row r="9" ht="60" customHeight="1">
      <x:c r="A9" s="75" t="str">
        <x:v>GTLB_F25</x:v>
      </x:c>
      <x:c r="B9" s="138" t="str">
        <x:v>GitLab FY2025 release; FY2024 comparative only</x:v>
      </x:c>
      <x:c r="C9" s="138" t="str">
        <x:v>2025-03-03</x:v>
      </x:c>
      <x:c r="D9" s="138" t="str">
        <x:v>https://ir.gitlab.com/news/news-details/2025/GitLab-Reports-Fourth-Quarter-and-Full-Fiscal-Year-2025-Financial-Results/default.aspx</x:v>
      </x:c>
      <x:c r="E9" s="138"/>
      <x:c r="F9" s="138"/>
      <x:c r="G9" s="138"/>
    </x:row>
    <x:row r="10" ht="60" customHeight="1">
      <x:c r="A10" s="75" t="str">
        <x:v>GTLB_Q27</x:v>
      </x:c>
      <x:c r="B10" s="138" t="str">
        <x:v>GitLab Q2 FY2027 earnings release; H1 statements and balance sheet</x:v>
      </x:c>
      <x:c r="C10" s="138" t="str">
        <x:v>2026-09-01</x:v>
      </x:c>
      <x:c r="D10" s="138" t="str">
        <x:v>https://ir.gitlab.com/news/news-details/2026/GitLab-Reports-Second-Quarter-Fiscal-Year-2027-Financial-Results/default.aspx</x:v>
      </x:c>
      <x:c r="E10" s="138"/>
      <x:c r="F10" s="138"/>
      <x:c r="G10" s="138"/>
    </x:row>
    <x:row r="11" ht="60" customHeight="1">
      <x:c r="A11" s="75" t="str">
        <x:v>CRM_P</x:v>
      </x:c>
      <x:c r="B11" s="138" t="str">
        <x:v>CRM historical closing price; 4 September 2026</x:v>
      </x:c>
      <x:c r="C11" s="138" t="str">
        <x:v>2026-09-04</x:v>
      </x:c>
      <x:c r="D11" s="138" t="str">
        <x:v>https://investor.salesforce.com/stock-info/default.aspx</x:v>
      </x:c>
      <x:c r="E11" s="138"/>
      <x:c r="F11" s="138"/>
      <x:c r="G11" s="138"/>
    </x:row>
    <x:row r="12" ht="60" customHeight="1">
      <x:c r="A12" s="75" t="str">
        <x:v>GTLB_P</x:v>
      </x:c>
      <x:c r="B12" s="138" t="str">
        <x:v>GTLB historical closing price; 4 September 2026</x:v>
      </x:c>
      <x:c r="C12" s="138" t="str">
        <x:v>2026-09-04</x:v>
      </x:c>
      <x:c r="D12" s="138" t="str">
        <x:v>https://ir.gitlab.com/stock-info/default.aspx</x:v>
      </x:c>
      <x:c r="E12" s="138"/>
      <x:c r="F12" s="138"/>
      <x:c r="G12" s="138"/>
    </x:row>
    <x:row r="13" ht="60" customHeight="1">
      <x:c r="A13" s="75" t="str">
        <x:v>GTLB_RANGE</x:v>
      </x:c>
      <x:c r="B13" s="138" t="str">
        <x:v>GitLab close and 52-week trading range, 4 September 2026</x:v>
      </x:c>
      <x:c r="C13" s="138" t="str">
        <x:v>2026-09-04</x:v>
      </x:c>
      <x:c r="D13" s="138" t="str">
        <x:v>https://stockanalysis.com/stocks/gtlb/</x:v>
      </x:c>
      <x:c r="E13" s="138"/>
      <x:c r="F13" s="138"/>
      <x:c r="G13" s="138"/>
    </x:row>
    <x:row r="14" ht="60" customHeight="1">
      <x:c r="A14" s="75" t="str">
        <x:v>TEAM_Q</x:v>
      </x:c>
      <x:c r="B14" s="138" t="str">
        <x:v>Atlassian FY2026 results; June year end and FY2027 guidance</x:v>
      </x:c>
      <x:c r="C14" s="138" t="str">
        <x:v>2026-08-06</x:v>
      </x:c>
      <x:c r="D14" s="138" t="str">
        <x:v>https://investors.atlassian.com/news/news-details/2026/Atlassian-Announces-Fourth-Quarter-and-Fiscal-Year-2026-Results/default.aspx</x:v>
      </x:c>
      <x:c r="E14" s="138"/>
      <x:c r="F14" s="138"/>
      <x:c r="G14" s="138"/>
    </x:row>
    <x:row r="15" ht="60" customHeight="1">
      <x:c r="A15" s="75" t="str">
        <x:v>DDOG_Q</x:v>
      </x:c>
      <x:c r="B15" s="138" t="str">
        <x:v>Datadog Q2 CY2026 results; June balance sheet and guidance</x:v>
      </x:c>
      <x:c r="C15" s="138" t="str">
        <x:v>2026-08-06</x:v>
      </x:c>
      <x:c r="D15" s="138" t="str">
        <x:v>https://investors.datadoghq.com/news-releases/news-release-details/datadog-announces-second-quarter-2026-financial-results</x:v>
      </x:c>
      <x:c r="E15" s="138"/>
      <x:c r="F15" s="138"/>
      <x:c r="G15" s="138"/>
    </x:row>
    <x:row r="16" ht="60" customHeight="1">
      <x:c r="A16" s="75" t="str">
        <x:v>FROG_Q</x:v>
      </x:c>
      <x:c r="B16" s="138" t="str">
        <x:v>JFrog Q2 CY2026 results; June balance sheet and guidance</x:v>
      </x:c>
      <x:c r="C16" s="138" t="str">
        <x:v>2026-08-06</x:v>
      </x:c>
      <x:c r="D16" s="138" t="str">
        <x:v>https://investors.jfrog.com/news/news-details/2026/JFrog-Announces-Second-Quarter-2026-Results/default.aspx</x:v>
      </x:c>
      <x:c r="E16" s="138"/>
      <x:c r="F16" s="138"/>
      <x:c r="G16" s="138"/>
    </x:row>
    <x:row r="17" ht="60" customHeight="1">
      <x:c r="A17" s="75" t="str">
        <x:v>TEAM_P</x:v>
      </x:c>
      <x:c r="B17" s="138" t="str">
        <x:v>TEAM historical close, 4 September 2026</x:v>
      </x:c>
      <x:c r="C17" s="138" t="str">
        <x:v>2026-09-04</x:v>
      </x:c>
      <x:c r="D17" s="138" t="str">
        <x:v>https://investors.atlassian.com/stock-information/default.aspx</x:v>
      </x:c>
      <x:c r="E17" s="138"/>
      <x:c r="F17" s="138"/>
      <x:c r="G17" s="138"/>
    </x:row>
    <x:row r="18" ht="60" customHeight="1">
      <x:c r="A18" s="75" t="str">
        <x:v>DDOG_P</x:v>
      </x:c>
      <x:c r="B18" s="138" t="str">
        <x:v>DDOG historical close, 4 September 2026</x:v>
      </x:c>
      <x:c r="C18" s="138" t="str">
        <x:v>2026-09-04</x:v>
      </x:c>
      <x:c r="D18" s="138" t="str">
        <x:v>https://finance.yahoo.com/quote/DDOG/history/</x:v>
      </x:c>
      <x:c r="E18" s="138"/>
      <x:c r="F18" s="138"/>
      <x:c r="G18" s="138"/>
    </x:row>
    <x:row r="19" ht="60" customHeight="1">
      <x:c r="A19" s="75" t="str">
        <x:v>FROG_P</x:v>
      </x:c>
      <x:c r="B19" s="138" t="str">
        <x:v>FROG historical close, 4 September 2026</x:v>
      </x:c>
      <x:c r="C19" s="138" t="str">
        <x:v>2026-09-04</x:v>
      </x:c>
      <x:c r="D19" s="138" t="str">
        <x:v>https://investors.jfrog.com/stock-info/stock-quote/default.aspx</x:v>
      </x:c>
      <x:c r="E19" s="138"/>
      <x:c r="F19" s="138"/>
      <x:c r="G19" s="138"/>
    </x:row>
    <x:row r="20" ht="60" customHeight="1">
      <x:c r="A20" s="75" t="str">
        <x:v>HCP_DEAL</x:v>
      </x:c>
      <x:c r="B20" s="138" t="str">
        <x:v>IBM announces HashiCorp; EV explicitly net of cash</x:v>
      </x:c>
      <x:c r="C20" s="138" t="str">
        <x:v>2024-04-24</x:v>
      </x:c>
      <x:c r="D20" s="138" t="str">
        <x:v>https://newsroom.ibm.com/2024-04-24-IBM-to-Acquire-HashiCorp-Inc-Creating-a-Comprehensive-End-to-End-Hybrid-Cloud-Platform</x:v>
      </x:c>
      <x:c r="E20" s="138"/>
      <x:c r="F20" s="138"/>
      <x:c r="G20" s="138"/>
    </x:row>
    <x:row r="21" ht="60" customHeight="1">
      <x:c r="A21" s="75" t="str">
        <x:v>HCP_REV</x:v>
      </x:c>
      <x:c r="B21" s="138" t="str">
        <x:v>HashiCorp FY2024 earnings release, available before announcement</x:v>
      </x:c>
      <x:c r="C21" s="138" t="str">
        <x:v>2024-03-05</x:v>
      </x:c>
      <x:c r="D21" s="138" t="str">
        <x:v>https://www.globenewswire.com/news-release/2024/03/05/2840892/0/en/hashicorp-announces-fourth-quarter-and-fiscal-year-2024-financial-results.html</x:v>
      </x:c>
      <x:c r="E21" s="138"/>
      <x:c r="F21" s="138"/>
      <x:c r="G21" s="138"/>
    </x:row>
    <x:row r="22" ht="60" customHeight="1">
      <x:c r="A22" s="75" t="str">
        <x:v>NEWR_DEAL</x:v>
      </x:c>
      <x:c r="B22" s="138" t="str">
        <x:v>New Relic acquisition announcement; equity value and premium basis</x:v>
      </x:c>
      <x:c r="C22" s="138" t="str">
        <x:v>2023-07-31</x:v>
      </x:c>
      <x:c r="D22" s="138" t="str">
        <x:v>https://newrelic.com/press-release/20230731</x:v>
      </x:c>
      <x:c r="E22" s="138"/>
      <x:c r="F22" s="138"/>
      <x:c r="G22" s="138"/>
    </x:row>
    <x:row r="23" ht="60" customHeight="1">
      <x:c r="A23" s="75" t="str">
        <x:v>SUMO_DEAL</x:v>
      </x:c>
      <x:c r="B23" s="138" t="str">
        <x:v>Sumo Logic announcement; equity value and unaffected premium</x:v>
      </x:c>
      <x:c r="C23" s="138" t="str">
        <x:v>2023-02-09</x:v>
      </x:c>
      <x:c r="D23" s="138" t="str">
        <x:v>https://www.franciscopartners.com/media/sumo-logic-to-be-acquired-by-francisco-partners-for-17-billion</x:v>
      </x:c>
      <x:c r="E23" s="138"/>
      <x:c r="F23" s="138"/>
      <x:c r="G23" s="138"/>
    </x:row>
    <x:row r="24" ht="60" customHeight="1">
      <x:c r="A24" s="75" t="str">
        <x:v>GH_DEAL</x:v>
      </x:c>
      <x:c r="B24" s="138" t="str">
        <x:v>Microsoft announces GitHub; stock consideration</x:v>
      </x:c>
      <x:c r="C24" s="138" t="str">
        <x:v>2018-06-04</x:v>
      </x:c>
      <x:c r="D24" s="138" t="str">
        <x:v>https://news.microsoft.com/source/2018/06/04/microsoft-to-acquire-github-for-7-5-billion/</x:v>
      </x:c>
      <x:c r="E24" s="138"/>
      <x:c r="F24" s="138"/>
      <x:c r="G24" s="138"/>
    </x:row>
    <x:row r="25" ht="60" customHeight="1">
      <x:c r="A25" s="75" t="str">
        <x:v>APPD_DEAL</x:v>
      </x:c>
      <x:c r="B25" s="138" t="str">
        <x:v>Cisco announces AppDynamics; cash and assumed equity awards</x:v>
      </x:c>
      <x:c r="C25" s="138" t="str">
        <x:v>2017-01-24</x:v>
      </x:c>
      <x:c r="D25" s="138" t="str">
        <x:v>https://newsroom.cisco.com/press-release-content?articleId=1817404&amp;type=webcontent</x:v>
      </x:c>
      <x:c r="E25" s="138"/>
      <x:c r="F25" s="138"/>
      <x:c r="G25" s="138"/>
    </x:row>
    <x:row r="26" ht="22" customHeight="1">
      <x:c r="A26" s="78"/>
      <x:c r="B26" s="158"/>
      <x:c r="C26" s="158"/>
      <x:c r="D26" s="158"/>
      <x:c r="E26" s="158"/>
      <x:c r="F26" s="158"/>
      <x:c r="G26" s="158"/>
    </x:row>
    <x:row r="27" ht="22" customHeight="1">
      <x:c r="A27" s="78"/>
      <x:c r="B27" s="158"/>
      <x:c r="C27" s="158"/>
      <x:c r="D27" s="158"/>
      <x:c r="E27" s="158"/>
      <x:c r="F27" s="158"/>
      <x:c r="G27" s="158"/>
    </x:row>
    <x:row r="28" ht="22" customHeight="1">
      <x:c r="A28" s="78"/>
      <x:c r="B28" s="82"/>
      <x:c r="C28" s="82"/>
      <x:c r="D28" s="82"/>
      <x:c r="E28" s="82"/>
      <x:c r="F28" s="82"/>
      <x:c r="G28" s="82"/>
    </x:row>
    <x:row r="29" ht="22" customHeight="1">
      <x:c r="A29" s="78"/>
      <x:c r="B29" s="82"/>
      <x:c r="C29" s="82"/>
      <x:c r="D29" s="82"/>
      <x:c r="E29" s="82"/>
      <x:c r="F29" s="82"/>
      <x:c r="G29" s="82"/>
    </x:row>
    <x:row r="30" ht="22" customHeight="1">
      <x:c r="A30" s="78"/>
      <x:c r="B30" s="82"/>
      <x:c r="C30" s="82"/>
      <x:c r="D30" s="82"/>
      <x:c r="E30" s="82"/>
      <x:c r="F30" s="82"/>
      <x:c r="G30" s="82"/>
    </x:row>
    <x:row r="31" ht="22" customHeight="1">
      <x:c r="A31" s="78"/>
      <x:c r="B31" s="82"/>
      <x:c r="C31" s="82"/>
      <x:c r="D31" s="82"/>
      <x:c r="E31" s="82"/>
      <x:c r="F31" s="82"/>
      <x:c r="G31" s="82"/>
    </x:row>
    <x:row r="32" ht="22" customHeight="1">
      <x:c r="A32" s="78"/>
      <x:c r="B32" s="82"/>
      <x:c r="C32" s="82"/>
      <x:c r="D32" s="82"/>
      <x:c r="E32" s="82"/>
      <x:c r="F32" s="82"/>
      <x:c r="G32" s="82"/>
    </x:row>
    <x:row r="33" ht="22" customHeight="1">
      <x:c r="A33" s="78"/>
      <x:c r="B33" s="82"/>
      <x:c r="C33" s="82"/>
      <x:c r="D33" s="82"/>
      <x:c r="E33" s="82"/>
      <x:c r="F33" s="82"/>
      <x:c r="G33" s="82"/>
    </x:row>
    <x:row r="34" ht="22" customHeight="1">
      <x:c r="A34" s="78"/>
      <x:c r="B34" s="82"/>
      <x:c r="C34" s="82"/>
      <x:c r="D34" s="82"/>
      <x:c r="E34" s="82"/>
      <x:c r="F34" s="82"/>
      <x:c r="G34" s="82"/>
    </x:row>
    <x:row r="35" ht="22" customHeight="1">
      <x:c r="A35" s="78"/>
      <x:c r="B35" s="82"/>
      <x:c r="C35" s="82"/>
      <x:c r="D35" s="82"/>
      <x:c r="E35" s="82"/>
      <x:c r="F35" s="82"/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/>
      <x:c r="B38" s="82"/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2" customHeight="1">
      <x:c r="A41" s="78"/>
      <x:c r="B41" s="82"/>
      <x:c r="C41" s="82"/>
      <x:c r="D41" s="82"/>
      <x:c r="E41" s="82"/>
      <x:c r="F41" s="82"/>
      <x:c r="G41" s="82"/>
    </x:row>
    <x:row r="42" ht="22" customHeight="1">
      <x:c r="A42" s="78"/>
      <x:c r="B42" s="82"/>
      <x:c r="C42" s="82"/>
      <x:c r="D42" s="82"/>
      <x:c r="E42" s="82"/>
      <x:c r="F42" s="82"/>
      <x:c r="G42" s="82"/>
    </x:row>
    <x:row r="43" ht="22" customHeight="1">
      <x:c r="A43" s="78"/>
      <x:c r="B43" s="82"/>
      <x:c r="C43" s="82"/>
      <x:c r="D43" s="82"/>
      <x:c r="E43" s="82"/>
      <x:c r="F43" s="82"/>
      <x:c r="G43" s="82"/>
    </x:row>
    <x:row r="44" ht="22" customHeight="1">
      <x:c r="A44" s="78"/>
      <x:c r="B44" s="82"/>
      <x:c r="C44" s="82"/>
      <x:c r="D44" s="82"/>
      <x:c r="E44" s="82"/>
      <x:c r="F44" s="82"/>
      <x:c r="G44" s="82"/>
    </x:row>
    <x:row r="45" ht="22" customHeight="1">
      <x:c r="A45" s="78"/>
      <x:c r="B45" s="82"/>
      <x:c r="C45" s="82"/>
      <x:c r="D45" s="82"/>
      <x:c r="E45" s="82"/>
      <x:c r="F45" s="82"/>
      <x:c r="G45" s="82"/>
    </x:row>
    <x:row r="46" ht="22" customHeight="1">
      <x:c r="A46" s="78"/>
      <x:c r="B46" s="82"/>
      <x:c r="C46" s="82"/>
      <x:c r="D46" s="82"/>
      <x:c r="E46" s="82"/>
      <x:c r="F46" s="82"/>
      <x:c r="G46" s="82"/>
    </x:row>
    <x:row r="47" ht="22" customHeight="1">
      <x:c r="A47" s="78"/>
      <x:c r="B47" s="82"/>
      <x:c r="C47" s="82"/>
      <x:c r="D47" s="82"/>
      <x:c r="E47" s="82"/>
      <x:c r="F47" s="82"/>
      <x:c r="G47" s="82"/>
    </x:row>
    <x:row r="48" ht="22" customHeight="1">
      <x:c r="A48" s="78"/>
      <x:c r="B48" s="82"/>
      <x:c r="C48" s="82"/>
      <x:c r="D48" s="82"/>
      <x:c r="E48" s="82"/>
      <x:c r="F48" s="82"/>
      <x:c r="G48" s="82"/>
    </x:row>
    <x:row r="49" ht="22" customHeight="1">
      <x:c r="A49" s="78"/>
      <x:c r="B49" s="82"/>
      <x:c r="C49" s="82"/>
      <x:c r="D49" s="82"/>
      <x:c r="E49" s="82"/>
      <x:c r="F49" s="82"/>
      <x:c r="G49" s="82"/>
    </x:row>
    <x:row r="50" ht="22" customHeight="1">
      <x:c r="A50" s="78"/>
      <x:c r="B50" s="82"/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/>
      <x:c r="B52" s="82"/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D5:G5"/>
    <x:mergeCell ref="D6:G6"/>
    <x:mergeCell ref="D7:G7"/>
    <x:mergeCell ref="D8:G8"/>
    <x:mergeCell ref="D9:G9"/>
    <x:mergeCell ref="D10:G10"/>
    <x:mergeCell ref="D11:G11"/>
    <x:mergeCell ref="D12:G12"/>
    <x:mergeCell ref="D13:G13"/>
    <x:mergeCell ref="D14:G14"/>
    <x:mergeCell ref="D15:G15"/>
    <x:mergeCell ref="D16:G16"/>
    <x:mergeCell ref="D17:G17"/>
    <x:mergeCell ref="D18:G18"/>
    <x:mergeCell ref="D19:G19"/>
    <x:mergeCell ref="D20:G20"/>
    <x:mergeCell ref="D21:G21"/>
    <x:mergeCell ref="D22:G22"/>
    <x:mergeCell ref="D23:G23"/>
    <x:mergeCell ref="D24:G24"/>
    <x:mergeCell ref="D25:G25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6" customHeight="1">
      <x:c r="A1" s="5" t="str">
        <x:v>MODEL CONTROL</x:v>
      </x:c>
      <x:c r="B1" s="5"/>
      <x:c r="C1" s="5"/>
      <x:c r="D1" s="5"/>
      <x:c r="E1" s="5"/>
      <x:c r="F1" s="5"/>
      <x:c r="G1" s="5"/>
    </x:row>
    <x:row r="2" ht="20" customHeight="1">
      <x:c r="A2" s="7" t="str">
        <x:v>Source reconciliation and model integrity checks | Information as of 4 September 2026</x:v>
      </x:c>
      <x:c r="B2" s="7"/>
      <x:c r="C2" s="7"/>
      <x:c r="D2" s="7"/>
      <x:c r="E2" s="7"/>
      <x:c r="F2" s="7"/>
      <x:c r="G2" s="7"/>
    </x:row>
    <x:row r="3" ht="20" customHeight="1">
      <x:c r="A3" s="7"/>
      <x:c r="B3" s="7"/>
      <x:c r="C3" s="7"/>
      <x:c r="D3" s="7"/>
      <x:c r="E3" s="7"/>
      <x:c r="F3" s="7"/>
      <x:c r="G3" s="7"/>
    </x:row>
    <x:row r="4" ht="34" customHeight="1">
      <x:c r="A4" s="78"/>
      <x:c r="B4" s="109"/>
      <x:c r="C4" s="109"/>
      <x:c r="D4" s="109"/>
      <x:c r="E4" s="109"/>
      <x:c r="F4" s="109"/>
      <x:c r="G4" s="109"/>
    </x:row>
    <x:row r="5" ht="26" customHeight="1">
      <x:c r="A5" s="111" t="str">
        <x:v>MODEL GOVERNANCE</x:v>
      </x:c>
      <x:c r="B5" s="118"/>
      <x:c r="C5" s="118"/>
      <x:c r="D5" s="118"/>
      <x:c r="E5" s="118"/>
      <x:c r="F5" s="118"/>
      <x:c r="G5" s="118"/>
    </x:row>
    <x:row r="6" ht="46" customHeight="1">
      <x:c r="A6" s="78" t="str">
        <x:v>Scope</x:v>
      </x:c>
      <x:c r="B6" s="151" t="str">
        <x:v>Standalone forecasts, valuation, transaction mechanics, purchase accounting, synergies, pro forma EPS and sensitivities.</x:v>
      </x:c>
      <x:c r="C6" s="151"/>
      <x:c r="D6" s="151"/>
      <x:c r="E6" s="151"/>
      <x:c r="F6" s="151"/>
      <x:c r="G6" s="151"/>
    </x:row>
    <x:row r="7" ht="46" customHeight="1">
      <x:c r="A7" s="78" t="str">
        <x:v>Synergy basis</x:v>
      </x:c>
      <x:c r="B7" s="151" t="str">
        <x:v>LTM GAAP functional expense less functional SBC; no R&amp;D cuts and no revenue synergies in the base case.</x:v>
      </x:c>
      <x:c r="C7" s="151"/>
      <x:c r="D7" s="151"/>
      <x:c r="E7" s="151"/>
      <x:c r="F7" s="151"/>
      <x:c r="G7" s="151"/>
    </x:row>
    <x:row r="8" ht="46" customHeight="1">
      <x:c r="A8" s="78" t="str">
        <x:v>DCF sensitivity</x:v>
      </x:c>
      <x:c r="B8" s="151" t="str">
        <x:v>WACC / terminal-growth grid centers on live assumptions and ties to the base DCF.</x:v>
      </x:c>
      <x:c r="C8" s="151"/>
      <x:c r="D8" s="151"/>
      <x:c r="E8" s="151"/>
      <x:c r="F8" s="151"/>
      <x:c r="G8" s="151"/>
    </x:row>
    <x:row r="9" ht="46" customHeight="1">
      <x:c r="A9" s="78" t="str">
        <x:v>Break-even control</x:v>
      </x:c>
      <x:c r="B9" s="151" t="str">
        <x:v>EPS-neutral savings are floored at zero and tested against the pro forma recurring EPS build.</x:v>
      </x:c>
      <x:c r="C9" s="151"/>
      <x:c r="D9" s="151"/>
      <x:c r="E9" s="151"/>
      <x:c r="F9" s="151"/>
      <x:c r="G9" s="151"/>
    </x:row>
    <x:row r="10" ht="46" customHeight="1">
      <x:c r="A10" s="78" t="str">
        <x:v>SBC treatment</x:v>
      </x:c>
      <x:c r="B10" s="151" t="str">
        <x:v>Historical SBC is the cash-flow adjustment; forecast SBC remains an operating cost and is not added back in DCF.</x:v>
      </x:c>
      <x:c r="C10" s="151"/>
      <x:c r="D10" s="151"/>
      <x:c r="E10" s="151"/>
      <x:c r="F10" s="151"/>
      <x:c r="G10" s="151"/>
    </x:row>
    <x:row r="11" ht="46" customHeight="1">
      <x:c r="A11" s="78" t="str">
        <x:v>Precedent treatment</x:v>
      </x:c>
      <x:c r="B11" s="151" t="str">
        <x:v>Strategic transaction references are shown only where the value basis is supportable; non-comparable multiples are omitted.</x:v>
      </x:c>
      <x:c r="C11" s="151"/>
      <x:c r="D11" s="151"/>
      <x:c r="E11" s="151"/>
      <x:c r="F11" s="151"/>
      <x:c r="G11" s="151"/>
    </x:row>
    <x:row r="12" ht="46" customHeight="1">
      <x:c r="A12" s="78" t="str">
        <x:v>Valuation scope</x:v>
      </x:c>
      <x:c r="B12" s="151" t="str">
        <x:v>DCF and selected public trading comparables drive valuation; purchase accounting, financing and synergy assumptions remain separately editable.</x:v>
      </x:c>
      <x:c r="C12" s="151"/>
      <x:c r="D12" s="151"/>
      <x:c r="E12" s="151"/>
      <x:c r="F12" s="151"/>
      <x:c r="G12" s="151"/>
    </x:row>
    <x:row r="13" ht="22" customHeight="1">
      <x:c r="A13" s="78"/>
      <x:c r="B13" s="82"/>
      <x:c r="C13" s="82"/>
      <x:c r="D13" s="82"/>
      <x:c r="E13" s="82"/>
      <x:c r="F13" s="82"/>
      <x:c r="G13" s="82"/>
    </x:row>
    <x:row r="14" ht="26" customHeight="1">
      <x:c r="A14" s="111" t="str">
        <x:v>SOURCE RECONCILIATIONS | USD MILLIONS</x:v>
      </x:c>
      <x:c r="B14" s="118"/>
      <x:c r="C14" s="118"/>
      <x:c r="D14" s="118"/>
      <x:c r="E14" s="118"/>
      <x:c r="F14" s="118"/>
      <x:c r="G14" s="118"/>
    </x:row>
    <x:row r="15" ht="22" customHeight="1">
      <x:c r="A15" s="78" t="str">
        <x:v>Period / metric</x:v>
      </x:c>
      <x:c r="B15" s="82" t="str">
        <x:v>Model</x:v>
      </x:c>
      <x:c r="C15" s="82" t="str">
        <x:v>Reported</x:v>
      </x:c>
      <x:c r="D15" s="82" t="str">
        <x:v>Difference</x:v>
      </x:c>
      <x:c r="E15" s="82" t="str">
        <x:v>Tolerance</x:v>
      </x:c>
      <x:c r="F15" s="82" t="str">
        <x:v>Status</x:v>
      </x:c>
      <x:c r="G15" s="82"/>
    </x:row>
    <x:row r="16" ht="22" customHeight="1">
      <x:c r="A16" s="78" t="str">
        <x:v>CRM FY24 parent NI</x:v>
      </x:c>
      <x:c r="B16" s="83" t="n">
        <x:f>'02_CRM_Historical'!B19</x:f>
        <x:v>4136</x:v>
      </x:c>
      <x:c r="C16" s="95" t="n">
        <x:v>4136</x:v>
      </x:c>
      <x:c r="D16" s="112" t="n">
        <x:f>B16-C16</x:f>
        <x:v>0</x:v>
      </x:c>
      <x:c r="E16" s="162" t="n">
        <x:f>'01_Assumptions'!$B$64</x:f>
        <x:v>0.000001</x:v>
      </x:c>
      <x:c r="F16" s="112" t="str">
        <x:f>IF(ABS(D16)&lt;=E16,"OK","ERROR")</x:f>
        <x:v>OK</x:v>
      </x:c>
      <x:c r="G16" s="82"/>
    </x:row>
    <x:row r="17" ht="22" customHeight="1">
      <x:c r="A17" s="78" t="str">
        <x:v>CRM FY25 parent NI</x:v>
      </x:c>
      <x:c r="B17" s="83" t="n">
        <x:f>'02_CRM_Historical'!C19</x:f>
        <x:v>6197</x:v>
      </x:c>
      <x:c r="C17" s="95" t="n">
        <x:v>6197</x:v>
      </x:c>
      <x:c r="D17" s="112" t="n">
        <x:f>B17-C17</x:f>
        <x:v>0</x:v>
      </x:c>
      <x:c r="E17" s="162" t="n">
        <x:f>'01_Assumptions'!$B$64</x:f>
        <x:v>0.000001</x:v>
      </x:c>
      <x:c r="F17" s="112" t="str">
        <x:f>IF(ABS(D17)&lt;=E17,"OK","ERROR")</x:f>
        <x:v>OK</x:v>
      </x:c>
      <x:c r="G17" s="82"/>
    </x:row>
    <x:row r="18" ht="22" customHeight="1">
      <x:c r="A18" s="78" t="str">
        <x:v>CRM FY26 parent NI</x:v>
      </x:c>
      <x:c r="B18" s="83" t="n">
        <x:f>'02_CRM_Historical'!D19</x:f>
        <x:v>7457</x:v>
      </x:c>
      <x:c r="C18" s="95" t="n">
        <x:v>7457</x:v>
      </x:c>
      <x:c r="D18" s="112" t="n">
        <x:f>B18-C18</x:f>
        <x:v>0</x:v>
      </x:c>
      <x:c r="E18" s="162" t="n">
        <x:f>'01_Assumptions'!$B$64</x:f>
        <x:v>0.000001</x:v>
      </x:c>
      <x:c r="F18" s="112" t="str">
        <x:f>IF(ABS(D18)&lt;=E18,"OK","ERROR")</x:f>
        <x:v>OK</x:v>
      </x:c>
      <x:c r="G18" s="82"/>
    </x:row>
    <x:row r="19" ht="22" customHeight="1">
      <x:c r="A19" s="78" t="str">
        <x:v>CRM H1 FY26 parent NI</x:v>
      </x:c>
      <x:c r="B19" s="83" t="n">
        <x:f>'02_CRM_Historical'!E19</x:f>
        <x:v>3428</x:v>
      </x:c>
      <x:c r="C19" s="95" t="n">
        <x:v>3428</x:v>
      </x:c>
      <x:c r="D19" s="112" t="n">
        <x:f>B19-C19</x:f>
        <x:v>0</x:v>
      </x:c>
      <x:c r="E19" s="162" t="n">
        <x:f>'01_Assumptions'!$B$64</x:f>
        <x:v>0.000001</x:v>
      </x:c>
      <x:c r="F19" s="112" t="str">
        <x:f>IF(ABS(D19)&lt;=E19,"OK","ERROR")</x:f>
        <x:v>OK</x:v>
      </x:c>
      <x:c r="G19" s="82"/>
    </x:row>
    <x:row r="20" ht="22" customHeight="1">
      <x:c r="A20" s="78" t="str">
        <x:v>CRM H1 FY27 parent NI</x:v>
      </x:c>
      <x:c r="B20" s="83" t="n">
        <x:f>'02_CRM_Historical'!F19</x:f>
        <x:v>5633</x:v>
      </x:c>
      <x:c r="C20" s="95" t="n">
        <x:v>5633</x:v>
      </x:c>
      <x:c r="D20" s="112" t="n">
        <x:f>B20-C20</x:f>
        <x:v>0</x:v>
      </x:c>
      <x:c r="E20" s="162" t="n">
        <x:f>'01_Assumptions'!$B$64</x:f>
        <x:v>0.000001</x:v>
      </x:c>
      <x:c r="F20" s="112" t="str">
        <x:f>IF(ABS(D20)&lt;=E20,"OK","ERROR")</x:f>
        <x:v>OK</x:v>
      </x:c>
      <x:c r="G20" s="82"/>
    </x:row>
    <x:row r="21" ht="22" customHeight="1">
      <x:c r="A21" s="78" t="str">
        <x:v>CRM FY24 GAAP EBIT</x:v>
      </x:c>
      <x:c r="B21" s="83" t="n">
        <x:f>'02_CRM_Historical'!B12</x:f>
        <x:v>5011</x:v>
      </x:c>
      <x:c r="C21" s="95" t="n">
        <x:v>5011</x:v>
      </x:c>
      <x:c r="D21" s="112" t="n">
        <x:f>B21-C21</x:f>
        <x:v>0</x:v>
      </x:c>
      <x:c r="E21" s="162" t="n">
        <x:f>'01_Assumptions'!$B$64</x:f>
        <x:v>0.000001</x:v>
      </x:c>
      <x:c r="F21" s="112" t="str">
        <x:f>IF(ABS(D21)&lt;=E21,"OK","ERROR")</x:f>
        <x:v>OK</x:v>
      </x:c>
      <x:c r="G21" s="82"/>
    </x:row>
    <x:row r="22" ht="22" customHeight="1">
      <x:c r="A22" s="78" t="str">
        <x:v>CRM FY25 GAAP EBIT</x:v>
      </x:c>
      <x:c r="B22" s="83" t="n">
        <x:f>'02_CRM_Historical'!C12</x:f>
        <x:v>7205</x:v>
      </x:c>
      <x:c r="C22" s="95" t="n">
        <x:v>7205</x:v>
      </x:c>
      <x:c r="D22" s="112" t="n">
        <x:f>B22-C22</x:f>
        <x:v>0</x:v>
      </x:c>
      <x:c r="E22" s="162" t="n">
        <x:f>'01_Assumptions'!$B$64</x:f>
        <x:v>0.000001</x:v>
      </x:c>
      <x:c r="F22" s="112" t="str">
        <x:f>IF(ABS(D22)&lt;=E22,"OK","ERROR")</x:f>
        <x:v>OK</x:v>
      </x:c>
      <x:c r="G22" s="82"/>
    </x:row>
    <x:row r="23" ht="22" customHeight="1">
      <x:c r="A23" s="78" t="str">
        <x:v>CRM FY26 GAAP EBIT</x:v>
      </x:c>
      <x:c r="B23" s="83" t="n">
        <x:f>'02_CRM_Historical'!D12</x:f>
        <x:v>8331</x:v>
      </x:c>
      <x:c r="C23" s="95" t="n">
        <x:v>8331</x:v>
      </x:c>
      <x:c r="D23" s="112" t="n">
        <x:f>B23-C23</x:f>
        <x:v>0</x:v>
      </x:c>
      <x:c r="E23" s="162" t="n">
        <x:f>'01_Assumptions'!$B$64</x:f>
        <x:v>0.000001</x:v>
      </x:c>
      <x:c r="F23" s="112" t="str">
        <x:f>IF(ABS(D23)&lt;=E23,"OK","ERROR")</x:f>
        <x:v>OK</x:v>
      </x:c>
      <x:c r="G23" s="82"/>
    </x:row>
    <x:row r="24" ht="22" customHeight="1">
      <x:c r="A24" s="78" t="str">
        <x:v>CRM H1 FY26 GAAP EBIT</x:v>
      </x:c>
      <x:c r="B24" s="83" t="n">
        <x:f>'02_CRM_Historical'!E12</x:f>
        <x:v>4274</x:v>
      </x:c>
      <x:c r="C24" s="95" t="n">
        <x:v>4274</x:v>
      </x:c>
      <x:c r="D24" s="112" t="n">
        <x:f>B24-C24</x:f>
        <x:v>0</x:v>
      </x:c>
      <x:c r="E24" s="162" t="n">
        <x:f>'01_Assumptions'!$B$64</x:f>
        <x:v>0.000001</x:v>
      </x:c>
      <x:c r="F24" s="112" t="str">
        <x:f>IF(ABS(D24)&lt;=E24,"OK","ERROR")</x:f>
        <x:v>OK</x:v>
      </x:c>
      <x:c r="G24" s="82"/>
    </x:row>
    <x:row r="25" ht="22" customHeight="1">
      <x:c r="A25" s="78" t="str">
        <x:v>CRM H1 FY27 GAAP EBIT</x:v>
      </x:c>
      <x:c r="B25" s="83" t="n">
        <x:f>'02_CRM_Historical'!F12</x:f>
        <x:v>4678</x:v>
      </x:c>
      <x:c r="C25" s="95" t="n">
        <x:v>4678</x:v>
      </x:c>
      <x:c r="D25" s="112" t="n">
        <x:f>B25-C25</x:f>
        <x:v>0</x:v>
      </x:c>
      <x:c r="E25" s="162" t="n">
        <x:f>'01_Assumptions'!$B$64</x:f>
        <x:v>0.000001</x:v>
      </x:c>
      <x:c r="F25" s="112" t="str">
        <x:f>IF(ABS(D25)&lt;=E25,"OK","ERROR")</x:f>
        <x:v>OK</x:v>
      </x:c>
      <x:c r="G25" s="82"/>
    </x:row>
    <x:row r="26" ht="22" customHeight="1">
      <x:c r="A26" s="78" t="str">
        <x:v>GTLB FY24 parent NI</x:v>
      </x:c>
      <x:c r="B26" s="83" t="n">
        <x:f>'04_GTLB_Historical'!B19</x:f>
        <x:v>-425.67699999999996</x:v>
      </x:c>
      <x:c r="C26" s="95" t="n">
        <x:v>-425.677</x:v>
      </x:c>
      <x:c r="D26" s="112" t="n">
        <x:f>B26-C26</x:f>
        <x:v>5.684341886080802e-14</x:v>
      </x:c>
      <x:c r="E26" s="162" t="n">
        <x:f>'01_Assumptions'!$B$64</x:f>
        <x:v>0.000001</x:v>
      </x:c>
      <x:c r="F26" s="112" t="str">
        <x:f>IF(ABS(D26)&lt;=E26,"OK","ERROR")</x:f>
        <x:v>OK</x:v>
      </x:c>
      <x:c r="G26" s="82"/>
    </x:row>
    <x:row r="27" ht="22" customHeight="1">
      <x:c r="A27" s="78" t="str">
        <x:v>GTLB FY25 parent NI</x:v>
      </x:c>
      <x:c r="B27" s="83" t="n">
        <x:f>'04_GTLB_Historical'!C19</x:f>
        <x:v>-6.326000000000028</x:v>
      </x:c>
      <x:c r="C27" s="95" t="n">
        <x:v>-6.326</x:v>
      </x:c>
      <x:c r="D27" s="112" t="n">
        <x:f>B27-C27</x:f>
        <x:v>-2.842170943040401e-14</x:v>
      </x:c>
      <x:c r="E27" s="162" t="n">
        <x:f>'01_Assumptions'!$B$64</x:f>
        <x:v>0.000001</x:v>
      </x:c>
      <x:c r="F27" s="112" t="str">
        <x:f>IF(ABS(D27)&lt;=E27,"OK","ERROR")</x:f>
        <x:v>OK</x:v>
      </x:c>
      <x:c r="G27" s="82"/>
    </x:row>
    <x:row r="28" ht="22" customHeight="1">
      <x:c r="A28" s="78" t="str">
        <x:v>GTLB FY26 parent NI</x:v>
      </x:c>
      <x:c r="B28" s="83" t="n">
        <x:f>'04_GTLB_Historical'!D19</x:f>
        <x:v>-55.956</x:v>
      </x:c>
      <x:c r="C28" s="95" t="n">
        <x:v>-55.956</x:v>
      </x:c>
      <x:c r="D28" s="112" t="n">
        <x:f>B28-C28</x:f>
        <x:v>0</x:v>
      </x:c>
      <x:c r="E28" s="162" t="n">
        <x:f>'01_Assumptions'!$B$64</x:f>
        <x:v>0.000001</x:v>
      </x:c>
      <x:c r="F28" s="112" t="str">
        <x:f>IF(ABS(D28)&lt;=E28,"OK","ERROR")</x:f>
        <x:v>OK</x:v>
      </x:c>
      <x:c r="G28" s="82"/>
    </x:row>
    <x:row r="29" ht="22" customHeight="1">
      <x:c r="A29" s="78" t="str">
        <x:v>GTLB H1 FY26 parent NI</x:v>
      </x:c>
      <x:c r="B29" s="83" t="n">
        <x:f>'04_GTLB_Historical'!E19</x:f>
        <x:v>-45.08300000000001</x:v>
      </x:c>
      <x:c r="C29" s="95" t="n">
        <x:v>-45.083</x:v>
      </x:c>
      <x:c r="D29" s="112" t="n">
        <x:f>B29-C29</x:f>
        <x:v>-1.4210854715202004e-14</x:v>
      </x:c>
      <x:c r="E29" s="162" t="n">
        <x:f>'01_Assumptions'!$B$64</x:f>
        <x:v>0.000001</x:v>
      </x:c>
      <x:c r="F29" s="112" t="str">
        <x:f>IF(ABS(D29)&lt;=E29,"OK","ERROR")</x:f>
        <x:v>OK</x:v>
      </x:c>
      <x:c r="G29" s="82"/>
    </x:row>
    <x:row r="30" ht="22" customHeight="1">
      <x:c r="A30" s="78" t="str">
        <x:v>GTLB H1 FY27 parent NI</x:v>
      </x:c>
      <x:c r="B30" s="83" t="n">
        <x:f>'04_GTLB_Historical'!F19</x:f>
        <x:v>-41.81599999999997</x:v>
      </x:c>
      <x:c r="C30" s="95" t="n">
        <x:v>-41.816</x:v>
      </x:c>
      <x:c r="D30" s="112" t="n">
        <x:f>B30-C30</x:f>
        <x:v>3.552713678800501e-14</x:v>
      </x:c>
      <x:c r="E30" s="162" t="n">
        <x:f>'01_Assumptions'!$B$64</x:f>
        <x:v>0.000001</x:v>
      </x:c>
      <x:c r="F30" s="112" t="str">
        <x:f>IF(ABS(D30)&lt;=E30,"OK","ERROR")</x:f>
        <x:v>OK</x:v>
      </x:c>
      <x:c r="G30" s="82"/>
    </x:row>
    <x:row r="31" ht="22" customHeight="1">
      <x:c r="A31" s="78" t="str">
        <x:v>GTLB FY24 GAAP EBIT</x:v>
      </x:c>
      <x:c r="B31" s="83" t="n">
        <x:f>'04_GTLB_Historical'!B12</x:f>
        <x:v>-187.43999999999994</x:v>
      </x:c>
      <x:c r="C31" s="95" t="n">
        <x:v>-187.44</x:v>
      </x:c>
      <x:c r="D31" s="112" t="n">
        <x:f>B31-C31</x:f>
        <x:v>5.684341886080802e-14</x:v>
      </x:c>
      <x:c r="E31" s="162" t="n">
        <x:f>'01_Assumptions'!$B$64</x:f>
        <x:v>0.000001</x:v>
      </x:c>
      <x:c r="F31" s="112" t="str">
        <x:f>IF(ABS(D31)&lt;=E31,"OK","ERROR")</x:f>
        <x:v>OK</x:v>
      </x:c>
      <x:c r="G31" s="82"/>
    </x:row>
    <x:row r="32" ht="22" customHeight="1">
      <x:c r="A32" s="78" t="str">
        <x:v>GTLB FY25 GAAP EBIT</x:v>
      </x:c>
      <x:c r="B32" s="83" t="n">
        <x:f>'04_GTLB_Historical'!C12</x:f>
        <x:v>-142.71500000000003</x:v>
      </x:c>
      <x:c r="C32" s="95" t="n">
        <x:v>-142.715</x:v>
      </x:c>
      <x:c r="D32" s="112" t="n">
        <x:f>B32-C32</x:f>
        <x:v>-2.842170943040401e-14</x:v>
      </x:c>
      <x:c r="E32" s="162" t="n">
        <x:f>'01_Assumptions'!$B$64</x:f>
        <x:v>0.000001</x:v>
      </x:c>
      <x:c r="F32" s="112" t="str">
        <x:f>IF(ABS(D32)&lt;=E32,"OK","ERROR")</x:f>
        <x:v>OK</x:v>
      </x:c>
      <x:c r="G32" s="82"/>
    </x:row>
    <x:row r="33" ht="22" customHeight="1">
      <x:c r="A33" s="78" t="str">
        <x:v>GTLB FY26 GAAP EBIT</x:v>
      </x:c>
      <x:c r="B33" s="83" t="n">
        <x:f>'04_GTLB_Historical'!D12</x:f>
        <x:v>-70.481</x:v>
      </x:c>
      <x:c r="C33" s="95" t="n">
        <x:v>-70.481</x:v>
      </x:c>
      <x:c r="D33" s="112" t="n">
        <x:f>B33-C33</x:f>
        <x:v>0</x:v>
      </x:c>
      <x:c r="E33" s="162" t="n">
        <x:f>'01_Assumptions'!$B$64</x:f>
        <x:v>0.000001</x:v>
      </x:c>
      <x:c r="F33" s="112" t="str">
        <x:f>IF(ABS(D33)&lt;=E33,"OK","ERROR")</x:f>
        <x:v>OK</x:v>
      </x:c>
      <x:c r="G33" s="82"/>
    </x:row>
    <x:row r="34" ht="22" customHeight="1">
      <x:c r="A34" s="78" t="str">
        <x:v>GTLB H1 FY26 GAAP EBIT</x:v>
      </x:c>
      <x:c r="B34" s="83" t="n">
        <x:f>'04_GTLB_Historical'!E12</x:f>
        <x:v>-52.96100000000001</x:v>
      </x:c>
      <x:c r="C34" s="95" t="n">
        <x:v>-52.961</x:v>
      </x:c>
      <x:c r="D34" s="112" t="n">
        <x:f>B34-C34</x:f>
        <x:v>-1.4210854715202004e-14</x:v>
      </x:c>
      <x:c r="E34" s="162" t="n">
        <x:f>'01_Assumptions'!$B$64</x:f>
        <x:v>0.000001</x:v>
      </x:c>
      <x:c r="F34" s="112" t="str">
        <x:f>IF(ABS(D34)&lt;=E34,"OK","ERROR")</x:f>
        <x:v>OK</x:v>
      </x:c>
      <x:c r="G34" s="82"/>
    </x:row>
    <x:row r="35" ht="22" customHeight="1">
      <x:c r="A35" s="78" t="str">
        <x:v>GTLB H1 FY27 GAAP EBIT</x:v>
      </x:c>
      <x:c r="B35" s="83" t="n">
        <x:f>'04_GTLB_Historical'!F12</x:f>
        <x:v>-72.68399999999997</x:v>
      </x:c>
      <x:c r="C35" s="95" t="n">
        <x:v>-72.684</x:v>
      </x:c>
      <x:c r="D35" s="112" t="n">
        <x:f>B35-C35</x:f>
        <x:v>2.842170943040401e-14</x:v>
      </x:c>
      <x:c r="E35" s="162" t="n">
        <x:f>'01_Assumptions'!$B$64</x:f>
        <x:v>0.000001</x:v>
      </x:c>
      <x:c r="F35" s="112" t="str">
        <x:f>IF(ABS(D35)&lt;=E35,"OK","ERROR")</x:f>
        <x:v>OK</x:v>
      </x:c>
      <x:c r="G35" s="82"/>
    </x:row>
    <x:row r="36" ht="22" customHeight="1">
      <x:c r="A36" s="78"/>
      <x:c r="B36" s="82"/>
      <x:c r="C36" s="82"/>
      <x:c r="D36" s="82"/>
      <x:c r="E36" s="82"/>
      <x:c r="F36" s="82"/>
      <x:c r="G36" s="82"/>
    </x:row>
    <x:row r="37" ht="22" customHeight="1">
      <x:c r="A37" s="78"/>
      <x:c r="B37" s="82"/>
      <x:c r="C37" s="82"/>
      <x:c r="D37" s="82"/>
      <x:c r="E37" s="82"/>
      <x:c r="F37" s="82"/>
      <x:c r="G37" s="82"/>
    </x:row>
    <x:row r="38" ht="22" customHeight="1">
      <x:c r="A38" s="78" t="str">
        <x:v>Source reconciliation errors</x:v>
      </x:c>
      <x:c r="B38" s="112" t="n">
        <x:f>COUNTIF(F16:F35,"ERROR")</x:f>
        <x:v>0</x:v>
      </x:c>
      <x:c r="C38" s="82"/>
      <x:c r="D38" s="82"/>
      <x:c r="E38" s="82"/>
      <x:c r="F38" s="82"/>
      <x:c r="G38" s="82"/>
    </x:row>
    <x:row r="39" ht="22" customHeight="1">
      <x:c r="A39" s="78"/>
      <x:c r="B39" s="82"/>
      <x:c r="C39" s="82"/>
      <x:c r="D39" s="82"/>
      <x:c r="E39" s="82"/>
      <x:c r="F39" s="82"/>
      <x:c r="G39" s="82"/>
    </x:row>
    <x:row r="40" ht="22" customHeight="1">
      <x:c r="A40" s="78"/>
      <x:c r="B40" s="82"/>
      <x:c r="C40" s="82"/>
      <x:c r="D40" s="82"/>
      <x:c r="E40" s="82"/>
      <x:c r="F40" s="82"/>
      <x:c r="G40" s="82"/>
    </x:row>
    <x:row r="41" ht="26" customHeight="1">
      <x:c r="A41" s="111" t="str">
        <x:v>INPUT VALIDITY | CHECK BEFORE USING OUTPUTS</x:v>
      </x:c>
      <x:c r="B41" s="118"/>
      <x:c r="C41" s="118"/>
      <x:c r="D41" s="118"/>
      <x:c r="E41" s="118"/>
      <x:c r="F41" s="118"/>
      <x:c r="G41" s="118"/>
    </x:row>
    <x:row r="42" ht="22" customHeight="1">
      <x:c r="A42" s="78" t="str">
        <x:v>Positive enterprise value</x:v>
      </x:c>
      <x:c r="B42" s="83" t="str">
        <x:f>IF('08_Transaction'!B15&gt;0,"OK","ERROR")</x:f>
        <x:v>OK</x:v>
      </x:c>
      <x:c r="C42" s="82"/>
      <x:c r="D42" s="82"/>
      <x:c r="E42" s="82"/>
      <x:c r="F42" s="82"/>
      <x:c r="G42" s="82"/>
    </x:row>
    <x:row r="43" ht="22" customHeight="1">
      <x:c r="A43" s="78" t="str">
        <x:v>Terminal growth below WACC</x:v>
      </x:c>
      <x:c r="B43" s="83" t="str">
        <x:f>IF('01_Assumptions'!$B$40&gt;'01_Assumptions'!$B$41,"OK","ERROR")</x:f>
        <x:v>OK</x:v>
      </x:c>
      <x:c r="C43" s="82"/>
      <x:c r="D43" s="82"/>
      <x:c r="E43" s="82"/>
      <x:c r="F43" s="82"/>
      <x:c r="G43" s="82"/>
    </x:row>
    <x:row r="44" ht="22" customHeight="1">
      <x:c r="A44" s="78" t="str">
        <x:v>Positive share prices</x:v>
      </x:c>
      <x:c r="B44" s="83" t="str">
        <x:f>IF(MIN('01_Assumptions'!$B$5,'01_Assumptions'!$B$6)&gt;0,"OK","ERROR")</x:f>
        <x:v>OK</x:v>
      </x:c>
      <x:c r="C44" s="82"/>
      <x:c r="D44" s="82"/>
      <x:c r="E44" s="82"/>
      <x:c r="F44" s="82"/>
      <x:c r="G44" s="82"/>
    </x:row>
    <x:row r="45" ht="22" customHeight="1">
      <x:c r="A45" s="78" t="str">
        <x:v>Positive useful lives / debt tenor</x:v>
      </x:c>
      <x:c r="B45" s="83" t="str">
        <x:f>IF(MIN('01_Assumptions'!$B$26,'01_Assumptions'!$B$27,'01_Assumptions'!$B$28,'01_Assumptions'!$B$19)&gt;0,"OK","ERROR")</x:f>
        <x:v>OK</x:v>
      </x:c>
      <x:c r="C45" s="82"/>
      <x:c r="D45" s="82"/>
      <x:c r="E45" s="82"/>
      <x:c r="F45" s="82"/>
      <x:c r="G45" s="82"/>
    </x:row>
    <x:row r="46" ht="22" customHeight="1">
      <x:c r="A46" s="78" t="str">
        <x:v>Positive synergy ramps</x:v>
      </x:c>
      <x:c r="B46" s="83" t="str">
        <x:f>IF(MIN('01_Assumptions'!$B$33,'01_Assumptions'!$B$34,'01_Assumptions'!$B$35)&gt;0,"OK","ERROR")</x:f>
        <x:v>OK</x:v>
      </x:c>
      <x:c r="C46" s="82"/>
      <x:c r="D46" s="82"/>
      <x:c r="E46" s="82"/>
      <x:c r="F46" s="82"/>
      <x:c r="G46" s="82"/>
    </x:row>
    <x:row r="47" ht="22" customHeight="1">
      <x:c r="A47" s="78" t="str">
        <x:v>Tax rate in range</x:v>
      </x:c>
      <x:c r="B47" s="83" t="str">
        <x:f>IF(AND('01_Assumptions'!$B$16&gt;=0,'01_Assumptions'!$B$16&lt;1),"OK","ERROR")</x:f>
        <x:v>OK</x:v>
      </x:c>
      <x:c r="C47" s="82"/>
      <x:c r="D47" s="82"/>
      <x:c r="E47" s="82"/>
      <x:c r="F47" s="82"/>
      <x:c r="G47" s="82"/>
    </x:row>
    <x:row r="48" ht="22" customHeight="1">
      <x:c r="A48" s="78" t="str">
        <x:v>Nonnegative synergy scale</x:v>
      </x:c>
      <x:c r="B48" s="83" t="str">
        <x:f>IF('01_Assumptions'!$B$29&gt;=0,"OK","ERROR")</x:f>
        <x:v>OK</x:v>
      </x:c>
      <x:c r="C48" s="82"/>
      <x:c r="D48" s="82"/>
      <x:c r="E48" s="82"/>
      <x:c r="F48" s="82"/>
      <x:c r="G48" s="82"/>
    </x:row>
    <x:row r="49" ht="22" customHeight="1">
      <x:c r="A49" s="78" t="str">
        <x:v>Closing convention retained</x:v>
      </x:c>
      <x:c r="B49" s="83" t="str">
        <x:f>IF('01_Assumptions'!$B$47=DATE(2027,2,1),"OK","ERROR")</x:f>
        <x:v>OK</x:v>
      </x:c>
      <x:c r="C49" s="82"/>
      <x:c r="D49" s="82"/>
      <x:c r="E49" s="82"/>
      <x:c r="F49" s="82"/>
      <x:c r="G49" s="82"/>
    </x:row>
    <x:row r="50" ht="22" customHeight="1">
      <x:c r="A50" s="78" t="str">
        <x:v>Information cutoff retained</x:v>
      </x:c>
      <x:c r="B50" s="83" t="str">
        <x:f>IF('01_Assumptions'!$B$48=DATE(2026,9,4),"OK","ERROR")</x:f>
        <x:v>OK</x:v>
      </x:c>
      <x:c r="C50" s="82"/>
      <x:c r="D50" s="82"/>
      <x:c r="E50" s="82"/>
      <x:c r="F50" s="82"/>
      <x:c r="G50" s="82"/>
    </x:row>
    <x:row r="51" ht="22" customHeight="1">
      <x:c r="A51" s="78"/>
      <x:c r="B51" s="82"/>
      <x:c r="C51" s="82"/>
      <x:c r="D51" s="82"/>
      <x:c r="E51" s="82"/>
      <x:c r="F51" s="82"/>
      <x:c r="G51" s="82"/>
    </x:row>
    <x:row r="52" ht="22" customHeight="1">
      <x:c r="A52" s="78" t="str">
        <x:v>Input validity errors</x:v>
      </x:c>
      <x:c r="B52" s="112" t="n">
        <x:f>COUNTIF(B42:B50,"ERROR")</x:f>
        <x:v>0</x:v>
      </x:c>
      <x:c r="C52" s="82"/>
      <x:c r="D52" s="82"/>
      <x:c r="E52" s="82"/>
      <x:c r="F52" s="82"/>
      <x:c r="G52" s="82"/>
    </x:row>
    <x:row r="53" ht="22" customHeight="1">
      <x:c r="A53" s="78"/>
      <x:c r="B53" s="82"/>
      <x:c r="C53" s="82"/>
      <x:c r="D53" s="82"/>
      <x:c r="E53" s="82"/>
      <x:c r="F53" s="82"/>
      <x:c r="G53" s="82"/>
    </x:row>
    <x:row r="54" ht="22" customHeight="1">
      <x:c r="A54" s="78"/>
      <x:c r="B54" s="82"/>
      <x:c r="C54" s="82"/>
      <x:c r="D54" s="82"/>
      <x:c r="E54" s="82"/>
      <x:c r="F54" s="82"/>
      <x:c r="G54" s="82"/>
    </x:row>
    <x:row r="55" ht="22" customHeight="1">
      <x:c r="A55" s="78"/>
      <x:c r="B55" s="82"/>
      <x:c r="C55" s="82"/>
      <x:c r="D55" s="82"/>
      <x:c r="E55" s="82"/>
      <x:c r="F55" s="82"/>
      <x:c r="G55" s="82"/>
    </x:row>
    <x:row r="56">
      <x:c r="A56" s="79"/>
      <x:c r="B56" s="86"/>
      <x:c r="C56" s="86"/>
      <x:c r="D56" s="86"/>
      <x:c r="E56" s="86"/>
      <x:c r="F56" s="86"/>
      <x:c r="G56" s="86"/>
    </x:row>
    <x:row r="57">
      <x:c r="A57" s="79"/>
      <x:c r="B57" s="86"/>
      <x:c r="C57" s="86"/>
      <x:c r="D57" s="86"/>
      <x:c r="E57" s="86"/>
      <x:c r="F57" s="86"/>
      <x:c r="G57" s="86"/>
    </x:row>
    <x:row r="58">
      <x:c r="A58" s="79"/>
      <x:c r="B58" s="86"/>
      <x:c r="C58" s="86"/>
      <x:c r="D58" s="86"/>
      <x:c r="E58" s="86"/>
      <x:c r="F58" s="86"/>
      <x:c r="G58" s="86"/>
    </x:row>
    <x:row r="59">
      <x:c r="A59" s="79"/>
      <x:c r="B59" s="86"/>
      <x:c r="C59" s="86"/>
      <x:c r="D59" s="86"/>
      <x:c r="E59" s="86"/>
      <x:c r="F59" s="86"/>
      <x:c r="G59" s="86"/>
    </x:row>
    <x:row r="60">
      <x:c r="A60" s="79"/>
      <x:c r="B60" s="86"/>
      <x:c r="C60" s="86"/>
      <x:c r="D60" s="86"/>
      <x:c r="E60" s="86"/>
      <x:c r="F60" s="86"/>
      <x:c r="G60" s="86"/>
    </x:row>
    <x:row r="61">
      <x:c r="A61" s="79"/>
      <x:c r="B61" s="86"/>
      <x:c r="C61" s="86"/>
      <x:c r="D61" s="86"/>
      <x:c r="E61" s="86"/>
      <x:c r="F61" s="86"/>
      <x:c r="G61" s="86"/>
    </x:row>
    <x:row r="62">
      <x:c r="A62" s="79"/>
      <x:c r="B62" s="86"/>
      <x:c r="C62" s="86"/>
      <x:c r="D62" s="86"/>
      <x:c r="E62" s="86"/>
      <x:c r="F62" s="86"/>
      <x:c r="G62" s="86"/>
    </x:row>
    <x:row r="63">
      <x:c r="A63" s="79"/>
      <x:c r="B63" s="86"/>
      <x:c r="C63" s="86"/>
      <x:c r="D63" s="86"/>
      <x:c r="E63" s="86"/>
      <x:c r="F63" s="86"/>
      <x:c r="G63" s="86"/>
    </x:row>
    <x:row r="64">
      <x:c r="A64" s="79"/>
      <x:c r="B64" s="86"/>
      <x:c r="C64" s="86"/>
      <x:c r="D64" s="86"/>
      <x:c r="E64" s="86"/>
      <x:c r="F64" s="86"/>
      <x:c r="G64" s="86"/>
    </x:row>
    <x:row r="65">
      <x:c r="A65" s="79"/>
      <x:c r="B65" s="86"/>
      <x:c r="C65" s="86"/>
      <x:c r="D65" s="86"/>
      <x:c r="E65" s="86"/>
      <x:c r="F65" s="86"/>
      <x:c r="G65" s="86"/>
    </x:row>
    <x:row r="66">
      <x:c r="A66" s="79"/>
      <x:c r="B66" s="86"/>
      <x:c r="C66" s="86"/>
      <x:c r="D66" s="86"/>
      <x:c r="E66" s="86"/>
      <x:c r="F66" s="86"/>
      <x:c r="G66" s="86"/>
    </x:row>
    <x:row r="67">
      <x:c r="A67" s="79"/>
      <x:c r="B67" s="86"/>
      <x:c r="C67" s="86"/>
      <x:c r="D67" s="86"/>
      <x:c r="E67" s="86"/>
      <x:c r="F67" s="86"/>
      <x:c r="G67" s="86"/>
    </x:row>
    <x:row r="68">
      <x:c r="A68" s="79"/>
      <x:c r="B68" s="86"/>
      <x:c r="C68" s="86"/>
      <x:c r="D68" s="86"/>
      <x:c r="E68" s="86"/>
      <x:c r="F68" s="86"/>
      <x:c r="G68" s="86"/>
    </x:row>
    <x:row r="69">
      <x:c r="A69" s="79"/>
      <x:c r="B69" s="86"/>
      <x:c r="C69" s="86"/>
      <x:c r="D69" s="86"/>
      <x:c r="E69" s="86"/>
      <x:c r="F69" s="86"/>
      <x:c r="G69" s="86"/>
    </x:row>
    <x:row r="70">
      <x:c r="A70" s="79"/>
      <x:c r="B70" s="86"/>
      <x:c r="C70" s="86"/>
      <x:c r="D70" s="86"/>
      <x:c r="E70" s="86"/>
      <x:c r="F70" s="86"/>
      <x:c r="G70" s="86"/>
    </x:row>
    <x:row r="71">
      <x:c r="A71" s="79"/>
      <x:c r="B71" s="86"/>
      <x:c r="C71" s="86"/>
      <x:c r="D71" s="86"/>
      <x:c r="E71" s="86"/>
      <x:c r="F71" s="86"/>
      <x:c r="G71" s="86"/>
    </x:row>
    <x:row r="72">
      <x:c r="A72" s="79"/>
      <x:c r="B72" s="86"/>
      <x:c r="C72" s="86"/>
      <x:c r="D72" s="86"/>
      <x:c r="E72" s="86"/>
      <x:c r="F72" s="86"/>
      <x:c r="G72" s="86"/>
    </x:row>
    <x:row r="73">
      <x:c r="A73" s="79"/>
      <x:c r="B73" s="86"/>
      <x:c r="C73" s="86"/>
      <x:c r="D73" s="86"/>
      <x:c r="E73" s="86"/>
      <x:c r="F73" s="86"/>
      <x:c r="G73" s="86"/>
    </x:row>
    <x:row r="74">
      <x:c r="A74" s="79"/>
      <x:c r="B74" s="86"/>
      <x:c r="C74" s="86"/>
      <x:c r="D74" s="86"/>
      <x:c r="E74" s="86"/>
      <x:c r="F74" s="86"/>
      <x:c r="G74" s="86"/>
    </x:row>
    <x:row r="75">
      <x:c r="A75" s="79"/>
      <x:c r="B75" s="86"/>
      <x:c r="C75" s="86"/>
      <x:c r="D75" s="86"/>
      <x:c r="E75" s="86"/>
      <x:c r="F75" s="86"/>
      <x:c r="G75" s="86"/>
    </x:row>
    <x:row r="76">
      <x:c r="A76" s="79"/>
      <x:c r="B76" s="86"/>
      <x:c r="C76" s="86"/>
      <x:c r="D76" s="86"/>
      <x:c r="E76" s="86"/>
      <x:c r="F76" s="86"/>
      <x:c r="G76" s="86"/>
    </x:row>
    <x:row r="77">
      <x:c r="A77" s="79"/>
      <x:c r="B77" s="86"/>
      <x:c r="C77" s="86"/>
      <x:c r="D77" s="86"/>
      <x:c r="E77" s="86"/>
      <x:c r="F77" s="86"/>
      <x:c r="G77" s="86"/>
    </x:row>
    <x:row r="78">
      <x:c r="A78" s="79"/>
      <x:c r="B78" s="86"/>
      <x:c r="C78" s="86"/>
      <x:c r="D78" s="86"/>
      <x:c r="E78" s="86"/>
      <x:c r="F78" s="86"/>
      <x:c r="G78" s="86"/>
    </x:row>
    <x:row r="79">
      <x:c r="A79" s="79"/>
      <x:c r="B79" s="86"/>
      <x:c r="C79" s="86"/>
      <x:c r="D79" s="86"/>
      <x:c r="E79" s="86"/>
      <x:c r="F79" s="86"/>
      <x:c r="G79" s="86"/>
    </x:row>
    <x:row r="80">
      <x:c r="A80" s="79"/>
      <x:c r="B80" s="86"/>
      <x:c r="C80" s="86"/>
      <x:c r="D80" s="86"/>
      <x:c r="E80" s="86"/>
      <x:c r="F80" s="86"/>
      <x:c r="G80" s="86"/>
    </x:row>
    <x:row r="81">
      <x:c r="A81" s="79"/>
      <x:c r="B81" s="86"/>
      <x:c r="C81" s="86"/>
      <x:c r="D81" s="86"/>
      <x:c r="E81" s="86"/>
      <x:c r="F81" s="86"/>
      <x:c r="G81" s="86"/>
    </x:row>
    <x:row r="82">
      <x:c r="A82" s="79"/>
      <x:c r="B82" s="86"/>
      <x:c r="C82" s="86"/>
      <x:c r="D82" s="86"/>
      <x:c r="E82" s="86"/>
      <x:c r="F82" s="86"/>
      <x:c r="G82" s="86"/>
    </x:row>
    <x:row r="83">
      <x:c r="A83" s="79"/>
      <x:c r="B83" s="86"/>
      <x:c r="C83" s="86"/>
      <x:c r="D83" s="86"/>
      <x:c r="E83" s="86"/>
      <x:c r="F83" s="86"/>
      <x:c r="G83" s="86"/>
    </x:row>
    <x:row r="84">
      <x:c r="A84" s="79"/>
      <x:c r="B84" s="86"/>
      <x:c r="C84" s="86"/>
      <x:c r="D84" s="86"/>
      <x:c r="E84" s="86"/>
      <x:c r="F84" s="86"/>
      <x:c r="G84" s="86"/>
    </x:row>
    <x:row r="85">
      <x:c r="A85" s="79"/>
      <x:c r="B85" s="86"/>
      <x:c r="C85" s="86"/>
      <x:c r="D85" s="86"/>
      <x:c r="E85" s="86"/>
      <x:c r="F85" s="86"/>
      <x:c r="G85" s="86"/>
    </x:row>
    <x:row r="86">
      <x:c r="A86" s="79"/>
      <x:c r="B86" s="86"/>
      <x:c r="C86" s="86"/>
      <x:c r="D86" s="86"/>
      <x:c r="E86" s="86"/>
      <x:c r="F86" s="86"/>
      <x:c r="G86" s="86"/>
    </x:row>
    <x:row r="87">
      <x:c r="A87" s="79"/>
      <x:c r="B87" s="86"/>
      <x:c r="C87" s="86"/>
      <x:c r="D87" s="86"/>
      <x:c r="E87" s="86"/>
      <x:c r="F87" s="86"/>
      <x:c r="G87" s="86"/>
    </x:row>
    <x:row r="88">
      <x:c r="A88" s="79"/>
      <x:c r="B88" s="86"/>
      <x:c r="C88" s="86"/>
      <x:c r="D88" s="86"/>
      <x:c r="E88" s="86"/>
      <x:c r="F88" s="86"/>
      <x:c r="G88" s="86"/>
    </x:row>
    <x:row r="89">
      <x:c r="A89" s="79"/>
      <x:c r="B89" s="86"/>
      <x:c r="C89" s="86"/>
      <x:c r="D89" s="86"/>
      <x:c r="E89" s="86"/>
      <x:c r="F89" s="86"/>
      <x:c r="G89" s="86"/>
    </x:row>
    <x:row r="90">
      <x:c r="A90" s="79"/>
      <x:c r="B90" s="86"/>
      <x:c r="C90" s="86"/>
      <x:c r="D90" s="86"/>
      <x:c r="E90" s="86"/>
      <x:c r="F90" s="86"/>
      <x:c r="G90" s="86"/>
    </x:row>
    <x:row r="91">
      <x:c r="A91" s="79"/>
      <x:c r="B91" s="86"/>
      <x:c r="C91" s="86"/>
      <x:c r="D91" s="86"/>
      <x:c r="E91" s="86"/>
      <x:c r="F91" s="86"/>
      <x:c r="G91" s="86"/>
    </x:row>
    <x:row r="92">
      <x:c r="A92" s="79"/>
      <x:c r="B92" s="86"/>
      <x:c r="C92" s="86"/>
      <x:c r="D92" s="86"/>
      <x:c r="E92" s="86"/>
      <x:c r="F92" s="86"/>
      <x:c r="G92" s="86"/>
    </x:row>
    <x:row r="93">
      <x:c r="A93" s="79"/>
      <x:c r="B93" s="86"/>
      <x:c r="C93" s="86"/>
      <x:c r="D93" s="86"/>
      <x:c r="E93" s="86"/>
      <x:c r="F93" s="86"/>
      <x:c r="G93" s="86"/>
    </x:row>
    <x:row r="94">
      <x:c r="A94" s="79"/>
      <x:c r="B94" s="86"/>
      <x:c r="C94" s="86"/>
      <x:c r="D94" s="86"/>
      <x:c r="E94" s="86"/>
      <x:c r="F94" s="86"/>
      <x:c r="G94" s="86"/>
    </x:row>
    <x:row r="95">
      <x:c r="A95" s="79"/>
      <x:c r="B95" s="86"/>
      <x:c r="C95" s="86"/>
      <x:c r="D95" s="86"/>
      <x:c r="E95" s="86"/>
      <x:c r="F95" s="86"/>
      <x:c r="G95" s="86"/>
    </x:row>
    <x:row r="96">
      <x:c r="A96" s="79"/>
      <x:c r="B96" s="86"/>
      <x:c r="C96" s="86"/>
      <x:c r="D96" s="86"/>
      <x:c r="E96" s="86"/>
      <x:c r="F96" s="86"/>
      <x:c r="G96" s="86"/>
    </x:row>
    <x:row r="97">
      <x:c r="A97" s="79"/>
      <x:c r="B97" s="86"/>
      <x:c r="C97" s="86"/>
      <x:c r="D97" s="86"/>
      <x:c r="E97" s="86"/>
      <x:c r="F97" s="86"/>
      <x:c r="G97" s="86"/>
    </x:row>
    <x:row r="98">
      <x:c r="A98" s="79"/>
      <x:c r="B98" s="86"/>
      <x:c r="C98" s="86"/>
      <x:c r="D98" s="86"/>
      <x:c r="E98" s="86"/>
      <x:c r="F98" s="86"/>
      <x:c r="G98" s="86"/>
    </x:row>
    <x:row r="99">
      <x:c r="A99" s="79"/>
      <x:c r="B99" s="86"/>
      <x:c r="C99" s="86"/>
      <x:c r="D99" s="86"/>
      <x:c r="E99" s="86"/>
      <x:c r="F99" s="86"/>
      <x:c r="G99" s="86"/>
    </x:row>
    <x:row r="100">
      <x:c r="A100" s="79"/>
      <x:c r="B100" s="86"/>
      <x:c r="C100" s="86"/>
      <x:c r="D100" s="86"/>
      <x:c r="E100" s="86"/>
      <x:c r="F100" s="86"/>
      <x:c r="G100" s="86"/>
    </x:row>
    <x:row r="101">
      <x:c r="A101" s="79"/>
      <x:c r="B101" s="87"/>
      <x:c r="C101" s="87"/>
      <x:c r="D101" s="87"/>
      <x:c r="E101" s="87"/>
      <x:c r="F101" s="87"/>
      <x:c r="G101" s="87"/>
    </x:row>
    <x:row r="102">
      <x:c r="A102" s="79"/>
      <x:c r="B102" s="87"/>
      <x:c r="C102" s="87"/>
      <x:c r="D102" s="87"/>
      <x:c r="E102" s="87"/>
      <x:c r="F102" s="87"/>
      <x:c r="G102" s="87"/>
    </x:row>
    <x:row r="103">
      <x:c r="A103" s="79"/>
      <x:c r="B103" s="87"/>
      <x:c r="C103" s="87"/>
      <x:c r="D103" s="87"/>
      <x:c r="E103" s="87"/>
      <x:c r="F103" s="87"/>
      <x:c r="G103" s="87"/>
    </x:row>
    <x:row r="104">
      <x:c r="A104" s="79"/>
      <x:c r="B104" s="87"/>
      <x:c r="C104" s="87"/>
      <x:c r="D104" s="87"/>
      <x:c r="E104" s="87"/>
      <x:c r="F104" s="87"/>
      <x:c r="G104" s="87"/>
    </x:row>
    <x:row r="105">
      <x:c r="A105" s="79"/>
      <x:c r="B105" s="87"/>
      <x:c r="C105" s="87"/>
      <x:c r="D105" s="87"/>
      <x:c r="E105" s="87"/>
      <x:c r="F105" s="87"/>
      <x:c r="G105" s="87"/>
    </x:row>
  </x:sheetData>
  <x:mergeCells>
    <x:mergeCell ref="A1:G1"/>
    <x:mergeCell ref="A2:G3"/>
    <x:mergeCell ref="A5:G5"/>
    <x:mergeCell ref="B6:G6"/>
    <x:mergeCell ref="B7:G7"/>
    <x:mergeCell ref="B8:G8"/>
    <x:mergeCell ref="B9:G9"/>
    <x:mergeCell ref="B10:G10"/>
    <x:mergeCell ref="B11:G11"/>
    <x:mergeCell ref="B12:G12"/>
    <x:mergeCell ref="A14:G14"/>
    <x:mergeCell ref="A41:G41"/>
  </x:mergeCells>
  <x:pageMargins left="0.7" right="0.7" top="0.75" bottom="0.75" header="0.3" footer="0.3"/>
  <x:legacyDrawing xmlns:r="http://schemas.openxmlformats.org/officeDocument/2006/relationships" r:id="R6996fcc5b9d142d7"/>
</x:worksheet>
</file>